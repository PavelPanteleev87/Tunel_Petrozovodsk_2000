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2056" windowHeight="6480"/>
  </bookViews>
  <sheets>
    <sheet name="Спецификация" sheetId="4" r:id="rId1"/>
    <sheet name="Сименс" sheetId="6" r:id="rId2"/>
    <sheet name="Лист1" sheetId="7" r:id="rId3"/>
  </sheets>
  <definedNames>
    <definedName name="_xlnm.Print_Area" localSheetId="0">Спецификация!$A$1:$F$114</definedName>
  </definedNames>
  <calcPr calcId="152511" refMode="R1C1"/>
  <fileRecoveryPr repairLoad="1"/>
</workbook>
</file>

<file path=xl/calcChain.xml><?xml version="1.0" encoding="utf-8"?>
<calcChain xmlns="http://schemas.openxmlformats.org/spreadsheetml/2006/main">
  <c r="M97" i="4" l="1"/>
  <c r="L97" i="4"/>
  <c r="K97" i="4"/>
  <c r="J97" i="4"/>
  <c r="K96" i="4" l="1"/>
  <c r="L96" i="4"/>
  <c r="M96" i="4"/>
  <c r="J96" i="4"/>
  <c r="H12" i="4" l="1"/>
  <c r="H86" i="4" l="1"/>
  <c r="D100" i="4"/>
  <c r="H81" i="4"/>
  <c r="G82" i="4"/>
  <c r="H82" i="4" s="1"/>
  <c r="H80" i="4"/>
  <c r="H38" i="4"/>
  <c r="H83" i="4"/>
  <c r="G97" i="4" l="1"/>
  <c r="D97" i="4"/>
  <c r="H97" i="4" s="1"/>
  <c r="H69" i="4"/>
  <c r="H15" i="4"/>
  <c r="H16" i="4"/>
  <c r="H18" i="4"/>
  <c r="H19" i="4"/>
  <c r="H21" i="4"/>
  <c r="H22" i="4"/>
  <c r="H24" i="4"/>
  <c r="H25" i="4"/>
  <c r="H26" i="4"/>
  <c r="H27" i="4"/>
  <c r="H28" i="4"/>
  <c r="H29" i="4"/>
  <c r="H30" i="4"/>
  <c r="H31" i="4"/>
  <c r="H32" i="4"/>
  <c r="H33" i="4"/>
  <c r="H34" i="4"/>
  <c r="H35" i="4"/>
  <c r="H37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6" i="4"/>
  <c r="H67" i="4"/>
  <c r="H68" i="4"/>
  <c r="H70" i="4"/>
  <c r="H71" i="4"/>
  <c r="H72" i="4"/>
  <c r="H73" i="4"/>
  <c r="H74" i="4"/>
  <c r="H75" i="4"/>
  <c r="H76" i="4"/>
  <c r="H77" i="4"/>
  <c r="H78" i="4"/>
  <c r="H79" i="4"/>
  <c r="H14" i="4"/>
  <c r="H11" i="4" l="1"/>
  <c r="G40" i="4"/>
  <c r="H40" i="4" s="1"/>
  <c r="H13" i="4" l="1"/>
  <c r="G17" i="4"/>
  <c r="H17" i="4" s="1"/>
  <c r="G20" i="4"/>
  <c r="H20" i="4" s="1"/>
  <c r="G23" i="4"/>
  <c r="H23" i="4" s="1"/>
  <c r="G36" i="4"/>
  <c r="H36" i="4" s="1"/>
  <c r="G39" i="4"/>
  <c r="H39" i="4" s="1"/>
  <c r="G63" i="4"/>
  <c r="H63" i="4" s="1"/>
  <c r="G64" i="4"/>
  <c r="H64" i="4" s="1"/>
  <c r="G65" i="4"/>
  <c r="H65" i="4" s="1"/>
  <c r="H91" i="4"/>
  <c r="H92" i="4"/>
  <c r="H94" i="4"/>
  <c r="H95" i="4"/>
  <c r="H96" i="4" l="1"/>
  <c r="H98" i="4" s="1"/>
  <c r="H99" i="4" s="1"/>
  <c r="H100" i="4" s="1"/>
  <c r="E3" i="6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<sst xmlns="http://schemas.openxmlformats.org/spreadsheetml/2006/main" count="379" uniqueCount="203">
  <si>
    <t>№</t>
  </si>
  <si>
    <t>Наименования</t>
  </si>
  <si>
    <t>ед.изм.</t>
  </si>
  <si>
    <t>кол-во</t>
  </si>
  <si>
    <t>цена</t>
  </si>
  <si>
    <t>сумма</t>
  </si>
  <si>
    <t>шт.</t>
  </si>
  <si>
    <t>CPU 1214C, DC/DC/Relay, 14DI/10DO/2AI</t>
  </si>
  <si>
    <t>Communication Board CB 1241, RS485</t>
  </si>
  <si>
    <t>Digital I/O SM 1223, 16DI/16DO</t>
  </si>
  <si>
    <t>Analog Output SM 1232, 4AO</t>
  </si>
  <si>
    <t>м.</t>
  </si>
  <si>
    <t>компл.</t>
  </si>
  <si>
    <t>Форсунки</t>
  </si>
  <si>
    <t>Примечания</t>
  </si>
  <si>
    <t xml:space="preserve">Термодат-19М6. Четырехканальный измеритель температуры, с графическим 6" дисплеем. Электронный самописец </t>
  </si>
  <si>
    <t>Лента модульная 1524мм.</t>
  </si>
  <si>
    <t>Лента модульная 170мм.</t>
  </si>
  <si>
    <t>Пластиковая переходная пластина (гребенчатая)</t>
  </si>
  <si>
    <t>Звездчка на вал 90х90</t>
  </si>
  <si>
    <t>Звездчка на вал 50х50</t>
  </si>
  <si>
    <t>Подшипники на вылы</t>
  </si>
  <si>
    <t>Моторредуктор червячный NMRV двухступенчатый</t>
  </si>
  <si>
    <t xml:space="preserve">Моторредуктор червячный NMRV </t>
  </si>
  <si>
    <t>Комплектующие соединительного конвейера</t>
  </si>
  <si>
    <t>ДО</t>
  </si>
  <si>
    <t>АИ</t>
  </si>
  <si>
    <t>АО</t>
  </si>
  <si>
    <t>Панель оператора MT8106iP Панель оператора, дисплей 10.1" (1024x600), 3 COM-порта, 1 Ethernet-порт, 1 USB-порт</t>
  </si>
  <si>
    <t>ASV-W-032-SS063-POS-V1B
Клапан запорно-регулирующий с позиционером, клапан ASV-W-032-SS063, нерж., приварка DIN11850s2, 2/2 НЗ, Ду 32, T=(-10...+180)C, P=0...10 бар, позиционер LPOS-S-V1B, управление 0/4...20мА,0...10В, RS-485 Modbus-RTU,пит.=24В</t>
  </si>
  <si>
    <t>ASV-W-040-SS080-U-POS-V1B
Клапан запорно-регулирующий с позиционером, клапан ASV-W-040-SS080-U, нерж., приварка DIN11850s2, 2/2 НЗ, Ду 40, T=(-10...+180)C, P=0...8 бар, позиционер LPOS-S-V1B, управление 0/4...20мА,0...10В, RS-485 Modbus-RTU,пит.=24В</t>
  </si>
  <si>
    <t>пар</t>
  </si>
  <si>
    <t>ASV-W-050-SS080-U
Клапан с пневмоприводом, нерж., приварной DIN 11850 серия 2, 2/2 НЗ, Ду 50, T=(-10...+180)C, Pпод диском=(0…8 бар), пневмопривод 80 мм одностороннего действия (порт 1/4'')</t>
  </si>
  <si>
    <t>пар общий</t>
  </si>
  <si>
    <t>ДИ</t>
  </si>
  <si>
    <t>Муфта 1/2 для ДТС</t>
  </si>
  <si>
    <t>Гудвил,  прямая врезка в трубу</t>
  </si>
  <si>
    <t>Пищевой насос из нержавейки Ампика ОНЦ 12,5/20-АМ_380В</t>
  </si>
  <si>
    <t>https://titan-lock.shop/product/sedelnyy_klapan_naklonnyy_nerzh_304_s_pnevmoprivodom_poliprop_dn15_tl15cpavpp_titan_lock/</t>
  </si>
  <si>
    <t>Седельный клапан наклонный, нерж. 304 с пневмоприводом (полипроп.), DN15 TL15CPAVPP TITAN LOCK</t>
  </si>
  <si>
    <t>Пневмоостров и блок подготовки Камоцци</t>
  </si>
  <si>
    <t>компл</t>
  </si>
  <si>
    <t>Преобразователь частоты векторный INNOVERT серии ITD ITD222U43B2   2.2  квт</t>
  </si>
  <si>
    <t>Воздуходувка</t>
  </si>
  <si>
    <t>Level 0</t>
  </si>
  <si>
    <t>Level 1</t>
  </si>
  <si>
    <t>Модуль</t>
  </si>
  <si>
    <t>Номер артикула</t>
  </si>
  <si>
    <t>Группа_1</t>
  </si>
  <si>
    <t>S7-1200</t>
  </si>
  <si>
    <t>Stand.sectional Rail 35mm, Length 483mm</t>
  </si>
  <si>
    <t>6ES5710-8MA11</t>
  </si>
  <si>
    <t>6ES7214-1HG40-0XB0</t>
  </si>
  <si>
    <t>6ES7241-1CH30-1XB0</t>
  </si>
  <si>
    <t>SIMATIC S7 Memory Card, 12 MB</t>
  </si>
  <si>
    <t>6ES7954-8LE04-0AA0</t>
  </si>
  <si>
    <t>Digital Input SM 1221, 16DI, 24V DC</t>
  </si>
  <si>
    <t>6ES7221-1BH32-0XB0</t>
  </si>
  <si>
    <t>6ES7223-1PL32-0XB0</t>
  </si>
  <si>
    <t>Digital Output SM1222, 16 DO, Relay</t>
  </si>
  <si>
    <t>6ES7222-1HH32-0XB0</t>
  </si>
  <si>
    <t>S7-1200, analog Input SM 1231 RTD, 8 AI</t>
  </si>
  <si>
    <t>6ES7231-5PF32-0XB0</t>
  </si>
  <si>
    <t>6ES7232-4HD32-0XB0</t>
  </si>
  <si>
    <t>SIMATIC S7 Memory Card, 12 MB  арт.  6ES7954-8LE04-0AA0</t>
  </si>
  <si>
    <t>Digital Input SM 1221, 16DI, 24V DC  арт.  6ES7221-1BH32-0XB0</t>
  </si>
  <si>
    <t>Digital I/O SM 1223, 16DI/16DO  арт.  6ES7223-1PL32-0XB0</t>
  </si>
  <si>
    <t>Digital Output SM1222, 16 DO, Relay  арт.  6ES7222-1HH32-0XB0</t>
  </si>
  <si>
    <t>S7-1200, analog Input SM 1231 RTD, 8 AI  арт.  6ES7231-5PF32-0XB0</t>
  </si>
  <si>
    <t>Analog Output SM 1232, 4AO  арт.  6ES7232-4HD32-0XB0</t>
  </si>
  <si>
    <t>5-портовый промышленный коммутатор разветвитель MyPads 5*100Mb неуправляемый на DIN рейку</t>
  </si>
  <si>
    <t>https://www.ozon.ru/product/5-portovyy-promyshlennyy-kommutator-razvetvitel-mypads-5-100mb-neupravlyaemyy-na-din-reyku-1123278375/</t>
  </si>
  <si>
    <t>СТИМАКС® A 12.4.5.015.Ф/Ф, конденсатоотводчик
поплавковый, чугунный DN 15 PN16 dP=4.5 бар
Тмакс=250оС, R-L</t>
  </si>
  <si>
    <t>Фланец Дн15.</t>
  </si>
  <si>
    <t>Клапаны обратные Гранлок серии CVS40
DN 15 DF03B604451</t>
  </si>
  <si>
    <t>межфланцевый</t>
  </si>
  <si>
    <t>4 Прокладка Ду 015 ВАТИ ГТ 600-02-00-2,0 Ру 10-40
50х20х2,0</t>
  </si>
  <si>
    <t>ГРАНВЕНТ® KV16.01.01.050.16.Ф/Ф, вентиль чугунный,
сальниковый DN50 РN16 Тмакс=300оС</t>
  </si>
  <si>
    <t xml:space="preserve">Фильтр сетчатый (новый дизайн) IS16.01.0600.050.16.Ф/Ф,
DN050, РN16, Тмакс=300оС </t>
  </si>
  <si>
    <t>Прокладка Ду 050 ВАТИ ГТ 600-02-00-2,0 Ру 10-40
106х57х2,0</t>
  </si>
  <si>
    <t>зенова</t>
  </si>
  <si>
    <t>на воду</t>
  </si>
  <si>
    <t>Импульсный источник питания PROMPOWER NDR-480-24 в металлическом
корпусе, напряжение на выходе 24 В постоянного тока, номинальный ток 20 А,
номинальная мощность 480 Вт. Входное напряжение 85-264 В переменного тока
(120-370 В постоянного тока)</t>
  </si>
  <si>
    <t>Крепеж для фланцев!</t>
  </si>
  <si>
    <t>Ручки</t>
  </si>
  <si>
    <t>петли</t>
  </si>
  <si>
    <t>уплотнитель</t>
  </si>
  <si>
    <t>Изоляция К-флекс</t>
  </si>
  <si>
    <t>моторредукторы</t>
  </si>
  <si>
    <t>Моторавтомат 9-14А ПРК32-14 управление кнопками</t>
  </si>
  <si>
    <t>Пускатель контактор электромагнитный</t>
  </si>
  <si>
    <t>Хомут P6.6 стандартный, черный 3,6x200</t>
  </si>
  <si>
    <t>уп.</t>
  </si>
  <si>
    <t>Провода установочные</t>
  </si>
  <si>
    <t>Наконечники НШВИ и НКИ</t>
  </si>
  <si>
    <t>CHINT Розетка AC30-111 с
заземляющим контактом на
DIN-рейку 775001</t>
  </si>
  <si>
    <t>Кабельный ввод (феррол)</t>
  </si>
  <si>
    <t>Проволочный лоток PRO50х100 (3,8мм) INOX AISI 304 L=3000</t>
  </si>
  <si>
    <t>м</t>
  </si>
  <si>
    <t>MD-1.06.D024.001 — Реле промежуточное интерфейсное с 1-м
переключающим контактом на DIN-рейку, 24V AC/DC, 6А</t>
  </si>
  <si>
    <t>PSA040AK441E — Аварийный выключатель 4-х полюсный (40А,
желтый с красной ручкой)</t>
  </si>
  <si>
    <t>CT-10.10.230 — Регулятор температуры внутри шкафа
(термостат) для управления кондиционером (диапазон
уставок 0...+60 C, 1НО, 10A, ширина 17.5мм, IP20 )</t>
  </si>
  <si>
    <t>MT45-RYG24B Светосигнальная колонна
с зуммером, 24В AC/DC, LED,
красный/желтый/зеленый</t>
  </si>
  <si>
    <t>Проф труба 80х40</t>
  </si>
  <si>
    <t>Проф труба 40х40</t>
  </si>
  <si>
    <t>Проф труба 40х20</t>
  </si>
  <si>
    <t>Круглая труба 70х1,5</t>
  </si>
  <si>
    <t>Круглая труба 53х1,5</t>
  </si>
  <si>
    <t>Круглая труба 40х1,5</t>
  </si>
  <si>
    <t>Круглая труба 35х1,5</t>
  </si>
  <si>
    <t>Круглая труба 28х1,5</t>
  </si>
  <si>
    <t>Ответственное лицо  ________________/ Лосихин А.А./</t>
  </si>
  <si>
    <r>
      <t>СОГЛАСОВАНО:</t>
    </r>
    <r>
      <rPr>
        <sz val="12"/>
        <color theme="1"/>
        <rFont val="Times New Roman"/>
        <family val="1"/>
        <charset val="204"/>
      </rPr>
      <t xml:space="preserve"> __________________/                        /</t>
    </r>
  </si>
  <si>
    <t>Дата получения заявки ___________________</t>
  </si>
  <si>
    <t>УТВЕРЖДАЮ:</t>
  </si>
  <si>
    <t>Директор ООО «Инокс Инжиниринг»</t>
  </si>
  <si>
    <t>_______________Черемухин И.В.</t>
  </si>
  <si>
    <t>Заявка по снабжению ТМЦ №</t>
  </si>
  <si>
    <t>«___»____________2025г.</t>
  </si>
  <si>
    <t>Объект: Туннельный пастеризатор ООО "Прохлада"</t>
  </si>
  <si>
    <t>Вид работ: Сборка</t>
  </si>
  <si>
    <t>Кабели и провода</t>
  </si>
  <si>
    <t>Ответственное лицо  ________________/ Полетиков А.В./</t>
  </si>
  <si>
    <t>Ответственное лицо  ________________/ Пономарев И.Ю./</t>
  </si>
  <si>
    <t>Ответственное лицо  ________________/ Савельев С.В./</t>
  </si>
  <si>
    <t>Требуется деталировка</t>
  </si>
  <si>
    <t>Листовой металл ( в ассортименте)</t>
  </si>
  <si>
    <t>срок дней</t>
  </si>
  <si>
    <t>Реле контроля фаз и напряжения</t>
  </si>
  <si>
    <t>выдержка 1 шт.</t>
  </si>
  <si>
    <t>≈</t>
  </si>
  <si>
    <t>Датчик температуры ДТС042-РТ100.B3.8.60.0.G1/2</t>
  </si>
  <si>
    <t>ПДУ-2H.2.350..250..G1</t>
  </si>
  <si>
    <t>Датчик давления ПД100-ДИ1,0-111-1,0</t>
  </si>
  <si>
    <t>Реле давления воздуха</t>
  </si>
  <si>
    <t>ТО-СУ1-2.35
Спирально угловая отводная трубка из нержавеющей стали AISI 304 с резьбовым типом соединения М20х1,5 и высотой 35 см</t>
  </si>
  <si>
    <t>Б.П.4.20×1,5.L.2</t>
  </si>
  <si>
    <t>5 осн + 4 дублирующие датчики для самописца</t>
  </si>
  <si>
    <t>тс</t>
  </si>
  <si>
    <t>4…20</t>
  </si>
  <si>
    <t>датчик индуктивный</t>
  </si>
  <si>
    <t>затор</t>
  </si>
  <si>
    <t>кнопка стоп с коробкой</t>
  </si>
  <si>
    <t>UN 231-5PF32-0XB0 Модуль температурный SM1231 8RTD 16BITS</t>
  </si>
  <si>
    <t>UN 231-4HD32-0XB0 Модуль аналоговых входов SM1231 4AI 13BITS</t>
  </si>
  <si>
    <t>UN 232-4HD32-0XB0 Модуль аналоговых выходов SM1232 4AO 14BITS</t>
  </si>
  <si>
    <t>UN 221-1BH32-0XB0 Модуль цифровых входов SM1221 16DI 24VDC</t>
  </si>
  <si>
    <t>UN 222-1HH32-0XB0 Модуль релейных выходов SM1222 16DO RELAY</t>
  </si>
  <si>
    <t>UN 223-1PL32-0XB0 Модуль цифровых входов, релейных выходов SM1223 16DI 24VDC/16DO RELAY</t>
  </si>
  <si>
    <t>6ES7954-8LE04-0AA0 КАРТА ПАМЯТИ SIMATIC S7, карта памяти для S7-1x00
CPU/SINAMICS, 3, 3V Flash, 12 MB 
или 
SIMATIC S7 memory card, 4 MB 6ES7954-8LC04-0AA0</t>
  </si>
  <si>
    <t>Пищевой насос из нержавейки Ампика ОНЦ 10,0/16-АМ_380В</t>
  </si>
  <si>
    <t>рекупер 10800 л/ч</t>
  </si>
  <si>
    <t>нагрев 16200 л/ч, охлаждение 18000 л/ч</t>
  </si>
  <si>
    <t>Химический насос Ампика ХМ 65-50-200/2-АМ</t>
  </si>
  <si>
    <t>Бобышка прямая Б.П.4.20Х1,5.35.2</t>
  </si>
  <si>
    <t xml:space="preserve">пар/гликоль </t>
  </si>
  <si>
    <t xml:space="preserve">Пускатель 2.5-4А ПРК32-4 управление кнопка
IEK
</t>
  </si>
  <si>
    <t>частотники - 4 шт и насосы рекупер - 2 шт.</t>
  </si>
  <si>
    <t>Пускатель 4-6.3А ПРК32-6.3 управление кнопками
IEK
Арт. DMS11-D63</t>
  </si>
  <si>
    <t>насос нагрев и охлажд. - 2 шт</t>
  </si>
  <si>
    <t>Пускатель 9-14А ПРК32-14 управление кнопками DMS11-014 IEK</t>
  </si>
  <si>
    <t>насос выдрежка и воздуходувка</t>
  </si>
  <si>
    <t>Контакт дополнительный ДК32-11 для ПРК DMS11D-AU11 IEK</t>
  </si>
  <si>
    <t>ОС с автоматов</t>
  </si>
  <si>
    <t>Контактор КМИ малогабаритный 12А катушка управления 230В АС 1НО KKM11-012-230-10 IEK</t>
  </si>
  <si>
    <t>Контактор КМИ малогабаритный 9А катушка управления 230В АС 1НО KKM11-009-230-10 IEK</t>
  </si>
  <si>
    <t>насос нагрев и охлажд. И рекупер - 4 шт</t>
  </si>
  <si>
    <t>Аппарат пластинчатый разборный</t>
  </si>
  <si>
    <t>рекуперация,нагрев, выдержка, охлаждение</t>
  </si>
  <si>
    <t>7 осн + 3 дублирующие датчики для самописца</t>
  </si>
  <si>
    <t>Манометры</t>
  </si>
  <si>
    <t>на среды</t>
  </si>
  <si>
    <t>1/3 от прохлады</t>
  </si>
  <si>
    <t>Работы по сборке</t>
  </si>
  <si>
    <t>ч/ч</t>
  </si>
  <si>
    <t>челХчасХдней</t>
  </si>
  <si>
    <t>Итого, рублей, материалы:</t>
  </si>
  <si>
    <t>Итого, рублей, себестоимость</t>
  </si>
  <si>
    <t>Итого х 1,3</t>
  </si>
  <si>
    <t>шкаф</t>
  </si>
  <si>
    <t xml:space="preserve">крепеж   </t>
  </si>
  <si>
    <t>лазер</t>
  </si>
  <si>
    <t>бугели</t>
  </si>
  <si>
    <t>Пищевой насос из нержавейки Ампика ОНЦ 6,0/20-АМ_380В</t>
  </si>
  <si>
    <t>Токарные работы для Вала в сборе 50х50т (комплект на вход или выход из 4х валов.  Работа + материал)</t>
  </si>
  <si>
    <t>Токарные работы для Вала в сборе 90х90 (комплект на вход или выход из 2х валов.  Работа + материал)</t>
  </si>
  <si>
    <t>Цепь + звезды + валы</t>
  </si>
  <si>
    <t>1 кВт</t>
  </si>
  <si>
    <t>1,5 кВт, 3,5А</t>
  </si>
  <si>
    <t>4 кВт, 9А</t>
  </si>
  <si>
    <t>на пар и воду</t>
  </si>
  <si>
    <t>ЦПУ 6ES7214-1HG40-0XB0</t>
  </si>
  <si>
    <t xml:space="preserve">16 DO       UN2221HH320XB0 </t>
  </si>
  <si>
    <t xml:space="preserve">16DI          UN2211BH320XB0 </t>
  </si>
  <si>
    <t>8 RTD        UN2315PF320XB0</t>
  </si>
  <si>
    <t>4 АО x 2 in 6ES7232-4HD32-0XB0</t>
  </si>
  <si>
    <t>Преобразователь частоты ELHART серии EMD‑MINI</t>
  </si>
  <si>
    <t>6ES72141HG400XB0 6ES7214-1HG40-0XB0 SIMATIC S7-1200, КОМПАКТНОЕ ЦПУ CPU 1214C
DC/DC/RLY, ВСТРОЕННЫЕ ВХОДЫ/ВЫХОДЫ: 14 DI =24 В, 10 DO РЕЛЕ 2 A, 2 AI =0
- 10 В, БЛОК ПИТАНИЯ: =20.4 - 28.8 В, ПАМЯТЬ ПРОГРАММЫ/ДАННЫХ: 75 КБ
1 шт 27 300,00</t>
  </si>
  <si>
    <t>UN2315PF320XB0 UN 231-5PF32-0XB0 Модуль температурный SM1231 8RTD 16BITS (необходимо,
чтобы версия прошивки контроллера была не ниже 4.0)
1 шт 29 226,75</t>
  </si>
  <si>
    <t>в наличии</t>
  </si>
  <si>
    <t>UN2314HD320XB0 UN 231-4HD32-0XB0 Модуль аналоговых входов SM1231 4AI 13BITS (необходимо,
чтобы версия прошивки контроллера была не ниже 4.0)
1 шт 12 733,80</t>
  </si>
  <si>
    <t>UN2324HD320XB0 UN 232-4HD32-0XB0 Модуль аналоговых выходов SM1232 4AO 14BITS
(необходимо, чтобы версия прошивки контроллера была не ниже 4.0)
2 шт 21 923,15</t>
  </si>
  <si>
    <t>NDR24024 Импульсный источник питания PROMPOWER NDR-240-24 в металлическом
корпусе, напряжение на выходе 24 В постоянного тока, номинальный ток 10 А,
номинальная мощность 240 Вт. Входное напряжение 85-264 В переменного тока
(120-370 В постоянного тока)
1 шт 3 452,40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</si>
</sst>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₽_-;\-* #,##0.00\ _₽_-;_-* &quot;-&quot;??\ _₽_-;_-@_-"/>
    <numFmt numFmtId="164" formatCode="#,##0.00\ &quot;₽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92D05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4">
    <xf numFmtId="0" fontId="0" fillId="0" borderId="0" xfId="0"/>
    <xf numFmtId="43" fontId="0" fillId="0" borderId="1" xfId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43" fontId="0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0" xfId="0" applyFont="1" applyFill="1"/>
    <xf numFmtId="0" fontId="0" fillId="0" borderId="0" xfId="0" applyFill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43" fontId="0" fillId="0" borderId="0" xfId="1" applyFont="1" applyFill="1" applyBorder="1" applyAlignment="1">
      <alignment horizontal="center" vertical="center" wrapText="1"/>
    </xf>
    <xf numFmtId="43" fontId="0" fillId="0" borderId="2" xfId="1" applyFont="1" applyFill="1" applyBorder="1" applyAlignment="1">
      <alignment horizontal="center" vertical="center"/>
    </xf>
    <xf numFmtId="0" fontId="5" fillId="0" borderId="0" xfId="2" applyFill="1" applyAlignment="1">
      <alignment wrapText="1"/>
    </xf>
    <xf numFmtId="0" fontId="5" fillId="0" borderId="0" xfId="2" applyFill="1"/>
    <xf numFmtId="0" fontId="7" fillId="0" borderId="1" xfId="0" applyFont="1" applyFill="1" applyBorder="1" applyAlignment="1">
      <alignment horizontal="center"/>
    </xf>
    <xf numFmtId="164" fontId="7" fillId="0" borderId="1" xfId="0" applyNumberFormat="1" applyFont="1" applyFill="1" applyBorder="1" applyAlignment="1">
      <alignment horizontal="center"/>
    </xf>
    <xf numFmtId="0" fontId="0" fillId="0" borderId="4" xfId="0" applyFill="1" applyBorder="1" applyAlignment="1">
      <alignment horizontal="right" vertical="center"/>
    </xf>
    <xf numFmtId="43" fontId="4" fillId="0" borderId="2" xfId="1" applyFont="1" applyFill="1" applyBorder="1" applyAlignment="1">
      <alignment horizontal="center" vertical="center" wrapText="1"/>
    </xf>
    <xf numFmtId="43" fontId="4" fillId="0" borderId="7" xfId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right" vertical="center"/>
    </xf>
    <xf numFmtId="43" fontId="4" fillId="0" borderId="0" xfId="1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7" fillId="0" borderId="0" xfId="0" applyFont="1" applyFill="1" applyAlignment="1">
      <alignment horizontal="right" vertical="center"/>
    </xf>
    <xf numFmtId="43" fontId="1" fillId="0" borderId="1" xfId="1" applyFont="1" applyFill="1" applyBorder="1" applyAlignment="1">
      <alignment horizontal="right" vertical="center"/>
    </xf>
    <xf numFmtId="17" fontId="0" fillId="0" borderId="0" xfId="0" applyNumberFormat="1" applyFill="1"/>
    <xf numFmtId="0" fontId="0" fillId="0" borderId="5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43" fontId="0" fillId="0" borderId="1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center"/>
    </xf>
    <xf numFmtId="0" fontId="0" fillId="0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/>
    <xf numFmtId="43" fontId="2" fillId="0" borderId="2" xfId="1" applyFont="1" applyFill="1" applyBorder="1" applyAlignment="1">
      <alignment horizontal="center" vertical="center" wrapText="1"/>
    </xf>
    <xf numFmtId="0" fontId="8" fillId="2" borderId="0" xfId="0" applyFont="1" applyFill="1"/>
    <xf numFmtId="0" fontId="7" fillId="0" borderId="0" xfId="0" applyFont="1"/>
    <xf numFmtId="43" fontId="0" fillId="0" borderId="0" xfId="0" applyNumberFormat="1" applyAlignment="1">
      <alignment horizontal="left"/>
    </xf>
    <xf numFmtId="43" fontId="0" fillId="0" borderId="0" xfId="1" applyFont="1"/>
    <xf numFmtId="0" fontId="0" fillId="3" borderId="0" xfId="0" applyFill="1"/>
    <xf numFmtId="0" fontId="0" fillId="3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43" fontId="7" fillId="0" borderId="5" xfId="1" applyFont="1" applyFill="1" applyBorder="1" applyAlignment="1">
      <alignment horizontal="center"/>
    </xf>
    <xf numFmtId="43" fontId="7" fillId="0" borderId="8" xfId="1" applyFont="1" applyFill="1" applyBorder="1" applyAlignment="1">
      <alignment horizontal="center"/>
    </xf>
    <xf numFmtId="43" fontId="7" fillId="0" borderId="2" xfId="1" applyFont="1" applyFill="1" applyBorder="1" applyAlignment="1">
      <alignment horizontal="center"/>
    </xf>
    <xf numFmtId="43" fontId="7" fillId="0" borderId="5" xfId="1" applyFont="1" applyFill="1" applyBorder="1" applyAlignment="1">
      <alignment horizontal="center" vertical="center"/>
    </xf>
    <xf numFmtId="43" fontId="7" fillId="0" borderId="8" xfId="1" applyFont="1" applyFill="1" applyBorder="1" applyAlignment="1">
      <alignment horizontal="center" vertical="center"/>
    </xf>
    <xf numFmtId="43" fontId="7" fillId="0" borderId="2" xfId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zon.ru/product/5-portovyy-promyshlennyy-kommutator-razvetvitel-mypads-5-100mb-neupravlyaemyy-na-din-reyku-11232783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3"/>
  <sheetViews>
    <sheetView tabSelected="1" topLeftCell="A10" zoomScale="115" zoomScaleNormal="115" workbookViewId="0">
      <pane ySplit="1" topLeftCell="A83" activePane="bottomLeft" state="frozen"/>
      <selection activeCell="A10" sqref="A10"/>
      <selection pane="bottomLeft" activeCell="J97" sqref="J97"/>
    </sheetView>
  </sheetViews>
  <sheetFormatPr defaultRowHeight="14.4" x14ac:dyDescent="0.3"/>
  <cols>
    <col min="1" max="1" width="8.88671875" style="4"/>
    <col min="2" max="2" width="53.21875" style="23" customWidth="1"/>
    <col min="3" max="3" width="9.33203125" style="6" customWidth="1"/>
    <col min="4" max="4" width="8.88671875" style="6" customWidth="1"/>
    <col min="5" max="5" width="10.33203125" style="6" customWidth="1"/>
    <col min="6" max="6" width="13.21875" style="6" hidden="1" customWidth="1"/>
    <col min="7" max="8" width="13.77734375" style="6" customWidth="1"/>
    <col min="9" max="9" width="14.44140625" style="4" customWidth="1"/>
    <col min="10" max="13" width="3.109375" style="4" customWidth="1"/>
    <col min="14" max="16384" width="8.88671875" style="4"/>
  </cols>
  <sheetData>
    <row r="1" spans="1:14" ht="15.6" x14ac:dyDescent="0.3">
      <c r="A1" s="63" t="s">
        <v>114</v>
      </c>
      <c r="B1" s="63"/>
      <c r="C1" s="63"/>
      <c r="D1" s="63"/>
      <c r="E1" s="63"/>
      <c r="F1" s="29"/>
      <c r="G1" s="29"/>
      <c r="H1" s="29"/>
      <c r="J1" s="2"/>
      <c r="K1" s="2"/>
      <c r="L1" s="2"/>
      <c r="M1" s="2"/>
    </row>
    <row r="2" spans="1:14" ht="15.6" x14ac:dyDescent="0.3">
      <c r="A2" s="63" t="s">
        <v>115</v>
      </c>
      <c r="B2" s="63"/>
      <c r="C2" s="63"/>
      <c r="D2" s="63"/>
      <c r="E2" s="63"/>
      <c r="F2" s="29"/>
      <c r="G2" s="29"/>
      <c r="H2" s="29"/>
    </row>
    <row r="3" spans="1:14" ht="15.6" x14ac:dyDescent="0.3">
      <c r="A3" s="63" t="s">
        <v>116</v>
      </c>
      <c r="B3" s="63"/>
      <c r="C3" s="63"/>
      <c r="D3" s="63"/>
      <c r="E3" s="63"/>
      <c r="F3" s="29"/>
      <c r="G3" s="29"/>
      <c r="H3" s="29"/>
    </row>
    <row r="4" spans="1:14" ht="15.6" x14ac:dyDescent="0.3">
      <c r="A4" s="63" t="s">
        <v>118</v>
      </c>
      <c r="B4" s="63"/>
      <c r="C4" s="63"/>
      <c r="D4" s="63"/>
      <c r="E4" s="63"/>
      <c r="F4" s="29"/>
      <c r="G4" s="29"/>
      <c r="H4" s="29"/>
      <c r="N4" s="5"/>
    </row>
    <row r="5" spans="1:14" ht="15.6" x14ac:dyDescent="0.3">
      <c r="A5" s="57"/>
      <c r="B5" s="57"/>
      <c r="C5" s="57"/>
      <c r="D5" s="57"/>
      <c r="E5" s="57"/>
      <c r="F5" s="30"/>
      <c r="N5" s="5"/>
    </row>
    <row r="6" spans="1:14" ht="15.6" customHeight="1" x14ac:dyDescent="0.3">
      <c r="A6" s="56" t="s">
        <v>117</v>
      </c>
      <c r="B6" s="56"/>
      <c r="C6" s="56"/>
      <c r="D6" s="56"/>
      <c r="E6" s="56"/>
      <c r="F6" s="31"/>
      <c r="G6" s="31"/>
      <c r="M6" s="5"/>
    </row>
    <row r="7" spans="1:14" ht="15.6" x14ac:dyDescent="0.3">
      <c r="A7" s="57"/>
      <c r="B7" s="57"/>
      <c r="C7" s="57"/>
      <c r="D7" s="57"/>
      <c r="E7" s="57"/>
      <c r="F7" s="30"/>
    </row>
    <row r="8" spans="1:14" ht="15.6" customHeight="1" x14ac:dyDescent="0.3">
      <c r="A8" s="58" t="s">
        <v>119</v>
      </c>
      <c r="B8" s="58"/>
      <c r="C8" s="58"/>
      <c r="D8" s="58"/>
      <c r="E8" s="58"/>
      <c r="F8" s="32"/>
    </row>
    <row r="9" spans="1:14" ht="15.6" customHeight="1" x14ac:dyDescent="0.3">
      <c r="A9" s="59" t="s">
        <v>120</v>
      </c>
      <c r="B9" s="59"/>
      <c r="C9" s="59"/>
      <c r="D9" s="59"/>
      <c r="E9" s="59"/>
      <c r="F9" s="7"/>
    </row>
    <row r="10" spans="1:14" x14ac:dyDescent="0.3">
      <c r="A10" s="8" t="s">
        <v>0</v>
      </c>
      <c r="B10" s="8" t="s">
        <v>1</v>
      </c>
      <c r="C10" s="8" t="s">
        <v>2</v>
      </c>
      <c r="D10" s="8" t="s">
        <v>3</v>
      </c>
      <c r="E10" s="8" t="s">
        <v>14</v>
      </c>
      <c r="F10" s="8" t="s">
        <v>127</v>
      </c>
      <c r="G10" s="8" t="s">
        <v>4</v>
      </c>
      <c r="H10" s="8" t="s">
        <v>5</v>
      </c>
      <c r="J10" s="2" t="s">
        <v>34</v>
      </c>
      <c r="K10" s="2" t="s">
        <v>25</v>
      </c>
      <c r="L10" s="2" t="s">
        <v>26</v>
      </c>
      <c r="M10" s="2" t="s">
        <v>27</v>
      </c>
    </row>
    <row r="11" spans="1:14" ht="28.8" x14ac:dyDescent="0.3">
      <c r="A11" s="8"/>
      <c r="B11" s="40" t="s">
        <v>183</v>
      </c>
      <c r="C11" s="8" t="s">
        <v>6</v>
      </c>
      <c r="D11" s="8">
        <v>6</v>
      </c>
      <c r="E11" s="33"/>
      <c r="F11" s="33"/>
      <c r="G11" s="1">
        <v>26100</v>
      </c>
      <c r="H11" s="3">
        <f>D11*G11</f>
        <v>156600</v>
      </c>
      <c r="I11" s="4" t="s">
        <v>187</v>
      </c>
      <c r="J11" s="4">
        <v>12</v>
      </c>
      <c r="K11" s="4">
        <v>6</v>
      </c>
    </row>
    <row r="12" spans="1:14" ht="28.8" x14ac:dyDescent="0.3">
      <c r="A12" s="8"/>
      <c r="B12" s="40" t="s">
        <v>150</v>
      </c>
      <c r="C12" s="8" t="s">
        <v>6</v>
      </c>
      <c r="D12" s="8">
        <v>1</v>
      </c>
      <c r="E12" s="39"/>
      <c r="F12" s="39"/>
      <c r="G12" s="1">
        <v>36100</v>
      </c>
      <c r="H12" s="3">
        <f>D12*G12</f>
        <v>36100</v>
      </c>
      <c r="I12" s="4" t="s">
        <v>188</v>
      </c>
      <c r="J12" s="4">
        <v>2</v>
      </c>
      <c r="K12" s="4">
        <v>1</v>
      </c>
    </row>
    <row r="13" spans="1:14" x14ac:dyDescent="0.3">
      <c r="A13" s="8">
        <v>5</v>
      </c>
      <c r="B13" s="40" t="s">
        <v>43</v>
      </c>
      <c r="C13" s="8" t="s">
        <v>6</v>
      </c>
      <c r="D13" s="8">
        <v>1</v>
      </c>
      <c r="E13" s="11" t="s">
        <v>80</v>
      </c>
      <c r="F13" s="11">
        <v>14</v>
      </c>
      <c r="G13" s="1">
        <v>50000</v>
      </c>
      <c r="H13" s="3">
        <f t="shared" ref="H13:H70" si="0">D13*G13</f>
        <v>50000</v>
      </c>
      <c r="I13" s="4" t="s">
        <v>189</v>
      </c>
      <c r="J13" s="4">
        <v>2</v>
      </c>
      <c r="K13" s="4">
        <v>1</v>
      </c>
      <c r="M13" s="5"/>
    </row>
    <row r="14" spans="1:14" ht="72" x14ac:dyDescent="0.3">
      <c r="A14" s="8">
        <v>6</v>
      </c>
      <c r="B14" s="40" t="s">
        <v>167</v>
      </c>
      <c r="C14" s="8" t="s">
        <v>6</v>
      </c>
      <c r="D14" s="8">
        <v>5</v>
      </c>
      <c r="E14" s="11" t="s">
        <v>168</v>
      </c>
      <c r="F14" s="11">
        <v>30</v>
      </c>
      <c r="G14" s="1">
        <v>50000</v>
      </c>
      <c r="H14" s="3">
        <f t="shared" si="0"/>
        <v>250000</v>
      </c>
    </row>
    <row r="15" spans="1:14" ht="86.4" x14ac:dyDescent="0.3">
      <c r="A15" s="8">
        <v>11</v>
      </c>
      <c r="B15" s="40" t="s">
        <v>29</v>
      </c>
      <c r="C15" s="8" t="s">
        <v>6</v>
      </c>
      <c r="D15" s="8">
        <v>5</v>
      </c>
      <c r="E15" s="11" t="s">
        <v>155</v>
      </c>
      <c r="F15" s="34">
        <v>7</v>
      </c>
      <c r="G15" s="3">
        <v>54900</v>
      </c>
      <c r="H15" s="3">
        <f t="shared" si="0"/>
        <v>274500</v>
      </c>
      <c r="K15" s="4">
        <v>5</v>
      </c>
      <c r="M15" s="4">
        <v>5</v>
      </c>
    </row>
    <row r="16" spans="1:14" x14ac:dyDescent="0.3">
      <c r="A16" s="8"/>
      <c r="B16" s="40" t="s">
        <v>140</v>
      </c>
      <c r="C16" s="8" t="s">
        <v>6</v>
      </c>
      <c r="D16" s="8">
        <v>1</v>
      </c>
      <c r="E16" s="11" t="s">
        <v>141</v>
      </c>
      <c r="F16" s="34"/>
      <c r="G16" s="3">
        <v>3000</v>
      </c>
      <c r="H16" s="3">
        <f t="shared" si="0"/>
        <v>3000</v>
      </c>
      <c r="J16" s="4">
        <v>1</v>
      </c>
    </row>
    <row r="17" spans="1:14" ht="43.2" x14ac:dyDescent="0.3">
      <c r="A17" s="8">
        <v>13</v>
      </c>
      <c r="B17" s="40" t="s">
        <v>72</v>
      </c>
      <c r="C17" s="8" t="s">
        <v>6</v>
      </c>
      <c r="D17" s="8">
        <v>4</v>
      </c>
      <c r="E17" s="11"/>
      <c r="F17" s="34">
        <v>14</v>
      </c>
      <c r="G17" s="3">
        <f>15634.96*1.2</f>
        <v>18761.951999999997</v>
      </c>
      <c r="H17" s="3">
        <f t="shared" si="0"/>
        <v>75047.80799999999</v>
      </c>
    </row>
    <row r="18" spans="1:14" x14ac:dyDescent="0.3">
      <c r="A18" s="8">
        <v>14</v>
      </c>
      <c r="B18" s="10" t="s">
        <v>73</v>
      </c>
      <c r="C18" s="8" t="s">
        <v>6</v>
      </c>
      <c r="D18" s="8">
        <v>10</v>
      </c>
      <c r="E18" s="11"/>
      <c r="F18" s="34">
        <v>14</v>
      </c>
      <c r="G18" s="3">
        <v>1100</v>
      </c>
      <c r="H18" s="3">
        <f t="shared" si="0"/>
        <v>11000</v>
      </c>
    </row>
    <row r="19" spans="1:14" ht="13.2" customHeight="1" x14ac:dyDescent="0.3">
      <c r="A19" s="8">
        <v>15</v>
      </c>
      <c r="B19" s="40" t="s">
        <v>74</v>
      </c>
      <c r="C19" s="8" t="s">
        <v>6</v>
      </c>
      <c r="D19" s="8">
        <v>5</v>
      </c>
      <c r="E19" s="11" t="s">
        <v>75</v>
      </c>
      <c r="F19" s="34">
        <v>14</v>
      </c>
      <c r="G19" s="3">
        <v>1142</v>
      </c>
      <c r="H19" s="3">
        <f t="shared" si="0"/>
        <v>5710</v>
      </c>
    </row>
    <row r="20" spans="1:14" ht="28.8" x14ac:dyDescent="0.3">
      <c r="A20" s="8">
        <v>16</v>
      </c>
      <c r="B20" s="40" t="s">
        <v>76</v>
      </c>
      <c r="C20" s="8" t="s">
        <v>6</v>
      </c>
      <c r="D20" s="8">
        <v>20</v>
      </c>
      <c r="E20" s="11"/>
      <c r="F20" s="34">
        <v>14</v>
      </c>
      <c r="G20" s="3">
        <f>86*1.2</f>
        <v>103.2</v>
      </c>
      <c r="H20" s="3">
        <f t="shared" si="0"/>
        <v>2064</v>
      </c>
    </row>
    <row r="21" spans="1:14" ht="28.8" x14ac:dyDescent="0.3">
      <c r="A21" s="8">
        <v>17</v>
      </c>
      <c r="B21" s="40" t="s">
        <v>77</v>
      </c>
      <c r="C21" s="8" t="s">
        <v>6</v>
      </c>
      <c r="D21" s="8">
        <v>1</v>
      </c>
      <c r="E21" s="11"/>
      <c r="F21" s="34">
        <v>14</v>
      </c>
      <c r="G21" s="3">
        <v>8534</v>
      </c>
      <c r="H21" s="3">
        <f t="shared" si="0"/>
        <v>8534</v>
      </c>
    </row>
    <row r="22" spans="1:14" ht="28.8" x14ac:dyDescent="0.3">
      <c r="A22" s="8">
        <v>18</v>
      </c>
      <c r="B22" s="40" t="s">
        <v>78</v>
      </c>
      <c r="C22" s="8" t="s">
        <v>6</v>
      </c>
      <c r="D22" s="8">
        <v>1</v>
      </c>
      <c r="E22" s="11"/>
      <c r="F22" s="34">
        <v>14</v>
      </c>
      <c r="G22" s="3">
        <v>3651</v>
      </c>
      <c r="H22" s="3">
        <f t="shared" si="0"/>
        <v>3651</v>
      </c>
    </row>
    <row r="23" spans="1:14" ht="28.8" x14ac:dyDescent="0.3">
      <c r="A23" s="8">
        <v>19</v>
      </c>
      <c r="B23" s="40" t="s">
        <v>79</v>
      </c>
      <c r="C23" s="8" t="s">
        <v>6</v>
      </c>
      <c r="D23" s="8">
        <v>4</v>
      </c>
      <c r="E23" s="11"/>
      <c r="F23" s="34">
        <v>14</v>
      </c>
      <c r="G23" s="3">
        <f>222*1.2</f>
        <v>266.39999999999998</v>
      </c>
      <c r="H23" s="3">
        <f t="shared" si="0"/>
        <v>1065.5999999999999</v>
      </c>
    </row>
    <row r="24" spans="1:14" x14ac:dyDescent="0.3">
      <c r="A24" s="8">
        <v>20</v>
      </c>
      <c r="B24" s="10" t="s">
        <v>83</v>
      </c>
      <c r="C24" s="8" t="s">
        <v>12</v>
      </c>
      <c r="D24" s="8">
        <v>1</v>
      </c>
      <c r="E24" s="11"/>
      <c r="F24" s="34">
        <v>7</v>
      </c>
      <c r="G24" s="3">
        <v>3000</v>
      </c>
      <c r="H24" s="3">
        <f t="shared" si="0"/>
        <v>3000</v>
      </c>
    </row>
    <row r="25" spans="1:14" ht="29.4" customHeight="1" x14ac:dyDescent="0.3">
      <c r="A25" s="8">
        <v>21</v>
      </c>
      <c r="B25" s="40" t="s">
        <v>39</v>
      </c>
      <c r="C25" s="8" t="s">
        <v>6</v>
      </c>
      <c r="D25" s="8">
        <v>3</v>
      </c>
      <c r="E25" s="11" t="s">
        <v>190</v>
      </c>
      <c r="F25" s="34">
        <v>7</v>
      </c>
      <c r="G25" s="42"/>
      <c r="H25" s="3">
        <f t="shared" si="0"/>
        <v>0</v>
      </c>
      <c r="K25" s="4">
        <v>3</v>
      </c>
    </row>
    <row r="26" spans="1:14" ht="43.2" x14ac:dyDescent="0.3">
      <c r="A26" s="8">
        <v>22</v>
      </c>
      <c r="B26" s="40" t="s">
        <v>15</v>
      </c>
      <c r="C26" s="8" t="s">
        <v>6</v>
      </c>
      <c r="D26" s="8">
        <v>1</v>
      </c>
      <c r="E26" s="11"/>
      <c r="F26" s="11">
        <v>14</v>
      </c>
      <c r="G26" s="1">
        <v>86320</v>
      </c>
      <c r="H26" s="3">
        <f t="shared" si="0"/>
        <v>86320</v>
      </c>
    </row>
    <row r="27" spans="1:14" x14ac:dyDescent="0.3">
      <c r="A27" s="8">
        <v>23</v>
      </c>
      <c r="B27" s="40" t="s">
        <v>132</v>
      </c>
      <c r="C27" s="8" t="s">
        <v>6</v>
      </c>
      <c r="D27" s="8">
        <v>1</v>
      </c>
      <c r="E27" s="11"/>
      <c r="F27" s="11">
        <v>14</v>
      </c>
      <c r="G27" s="1">
        <v>3520</v>
      </c>
      <c r="H27" s="3">
        <f t="shared" si="0"/>
        <v>3520</v>
      </c>
      <c r="J27" s="4">
        <v>2</v>
      </c>
    </row>
    <row r="28" spans="1:14" ht="48.6" customHeight="1" x14ac:dyDescent="0.3">
      <c r="A28" s="8">
        <v>25</v>
      </c>
      <c r="B28" s="40" t="s">
        <v>131</v>
      </c>
      <c r="C28" s="8" t="s">
        <v>6</v>
      </c>
      <c r="D28" s="8">
        <v>10</v>
      </c>
      <c r="E28" s="11" t="s">
        <v>169</v>
      </c>
      <c r="F28" s="11">
        <v>14</v>
      </c>
      <c r="G28" s="1">
        <v>4232</v>
      </c>
      <c r="H28" s="3">
        <f t="shared" si="0"/>
        <v>42320</v>
      </c>
      <c r="L28" s="41">
        <v>7</v>
      </c>
      <c r="N28" s="4" t="s">
        <v>138</v>
      </c>
    </row>
    <row r="29" spans="1:14" x14ac:dyDescent="0.3">
      <c r="A29" s="8"/>
      <c r="B29" s="10" t="s">
        <v>170</v>
      </c>
      <c r="C29" s="8" t="s">
        <v>6</v>
      </c>
      <c r="D29" s="8">
        <v>3</v>
      </c>
      <c r="E29" s="11" t="s">
        <v>171</v>
      </c>
      <c r="F29" s="34">
        <v>14</v>
      </c>
      <c r="G29" s="13">
        <v>10000</v>
      </c>
      <c r="H29" s="3">
        <f t="shared" si="0"/>
        <v>30000</v>
      </c>
      <c r="N29" s="26"/>
    </row>
    <row r="30" spans="1:14" x14ac:dyDescent="0.3">
      <c r="A30" s="8"/>
      <c r="B30" s="10" t="s">
        <v>136</v>
      </c>
      <c r="C30" s="8" t="s">
        <v>6</v>
      </c>
      <c r="D30" s="8">
        <v>2</v>
      </c>
      <c r="E30" s="11"/>
      <c r="F30" s="34"/>
      <c r="G30" s="13">
        <v>1000</v>
      </c>
      <c r="H30" s="3">
        <f t="shared" si="0"/>
        <v>2000</v>
      </c>
    </row>
    <row r="31" spans="1:14" ht="57.6" x14ac:dyDescent="0.3">
      <c r="A31" s="8"/>
      <c r="B31" s="10" t="s">
        <v>135</v>
      </c>
      <c r="C31" s="8" t="s">
        <v>6</v>
      </c>
      <c r="D31" s="8">
        <v>1</v>
      </c>
      <c r="E31" s="11"/>
      <c r="F31" s="34"/>
      <c r="G31" s="13">
        <v>2100</v>
      </c>
      <c r="H31" s="3">
        <f t="shared" si="0"/>
        <v>2100</v>
      </c>
    </row>
    <row r="32" spans="1:14" x14ac:dyDescent="0.3">
      <c r="A32" s="8"/>
      <c r="B32" s="10" t="s">
        <v>154</v>
      </c>
      <c r="C32" s="8"/>
      <c r="D32" s="8">
        <v>2</v>
      </c>
      <c r="E32" s="11"/>
      <c r="F32" s="34"/>
      <c r="G32" s="13">
        <v>1000</v>
      </c>
      <c r="H32" s="3">
        <f t="shared" si="0"/>
        <v>2000</v>
      </c>
    </row>
    <row r="33" spans="1:13" ht="57.6" x14ac:dyDescent="0.3">
      <c r="A33" s="8">
        <v>26</v>
      </c>
      <c r="B33" s="10" t="s">
        <v>35</v>
      </c>
      <c r="C33" s="8" t="s">
        <v>6</v>
      </c>
      <c r="D33" s="8">
        <v>11</v>
      </c>
      <c r="E33" s="11" t="s">
        <v>36</v>
      </c>
      <c r="F33" s="34">
        <v>7</v>
      </c>
      <c r="G33" s="13">
        <v>100</v>
      </c>
      <c r="H33" s="3">
        <f t="shared" si="0"/>
        <v>1100</v>
      </c>
    </row>
    <row r="34" spans="1:13" x14ac:dyDescent="0.3">
      <c r="A34" s="8">
        <v>27</v>
      </c>
      <c r="B34" s="40" t="s">
        <v>40</v>
      </c>
      <c r="C34" s="8" t="s">
        <v>41</v>
      </c>
      <c r="D34" s="8">
        <v>1</v>
      </c>
      <c r="E34" s="11"/>
      <c r="F34" s="34">
        <v>14</v>
      </c>
      <c r="G34" s="3">
        <v>37300</v>
      </c>
      <c r="H34" s="3">
        <f t="shared" si="0"/>
        <v>37300</v>
      </c>
    </row>
    <row r="35" spans="1:13" x14ac:dyDescent="0.3">
      <c r="A35" s="8"/>
      <c r="B35" s="10" t="s">
        <v>134</v>
      </c>
      <c r="C35" s="8" t="s">
        <v>41</v>
      </c>
      <c r="D35" s="8"/>
      <c r="E35" s="11"/>
      <c r="F35" s="34"/>
      <c r="G35" s="3"/>
      <c r="H35" s="3">
        <f t="shared" si="0"/>
        <v>0</v>
      </c>
      <c r="J35" s="4">
        <v>1</v>
      </c>
    </row>
    <row r="36" spans="1:13" ht="28.8" x14ac:dyDescent="0.3">
      <c r="A36" s="8">
        <v>28</v>
      </c>
      <c r="B36" s="40" t="s">
        <v>196</v>
      </c>
      <c r="C36" s="8" t="s">
        <v>6</v>
      </c>
      <c r="D36" s="8">
        <v>3</v>
      </c>
      <c r="E36" s="11" t="s">
        <v>88</v>
      </c>
      <c r="F36" s="11">
        <v>7</v>
      </c>
      <c r="G36" s="1">
        <f>0.75*26600</f>
        <v>19950</v>
      </c>
      <c r="H36" s="3">
        <f t="shared" si="0"/>
        <v>59850</v>
      </c>
      <c r="J36" s="4">
        <v>3</v>
      </c>
      <c r="K36" s="4">
        <v>3</v>
      </c>
      <c r="M36" s="4">
        <v>3</v>
      </c>
    </row>
    <row r="37" spans="1:13" ht="43.2" x14ac:dyDescent="0.3">
      <c r="A37" s="8">
        <v>29</v>
      </c>
      <c r="B37" s="40" t="s">
        <v>102</v>
      </c>
      <c r="C37" s="8" t="s">
        <v>6</v>
      </c>
      <c r="D37" s="8">
        <v>1</v>
      </c>
      <c r="E37" s="11"/>
      <c r="F37" s="34">
        <v>14</v>
      </c>
      <c r="G37" s="3">
        <v>7900</v>
      </c>
      <c r="H37" s="3">
        <f t="shared" si="0"/>
        <v>7900</v>
      </c>
      <c r="K37" s="4">
        <v>4</v>
      </c>
    </row>
    <row r="38" spans="1:13" x14ac:dyDescent="0.3">
      <c r="A38" s="8"/>
      <c r="B38" s="37" t="s">
        <v>179</v>
      </c>
      <c r="C38" s="8"/>
      <c r="D38" s="8">
        <v>1</v>
      </c>
      <c r="E38" s="11"/>
      <c r="F38" s="35"/>
      <c r="G38" s="3">
        <v>50000</v>
      </c>
      <c r="H38" s="3">
        <f t="shared" si="0"/>
        <v>50000</v>
      </c>
    </row>
    <row r="39" spans="1:13" ht="100.8" x14ac:dyDescent="0.3">
      <c r="A39" s="8">
        <v>30</v>
      </c>
      <c r="B39" s="49" t="s">
        <v>197</v>
      </c>
      <c r="C39" s="8" t="s">
        <v>6</v>
      </c>
      <c r="D39" s="8">
        <v>1</v>
      </c>
      <c r="E39" s="10"/>
      <c r="F39" s="34">
        <v>1</v>
      </c>
      <c r="G39" s="3">
        <f>33000*1.2</f>
        <v>39600</v>
      </c>
      <c r="H39" s="3">
        <f t="shared" si="0"/>
        <v>39600</v>
      </c>
    </row>
    <row r="40" spans="1:13" ht="57.6" x14ac:dyDescent="0.3">
      <c r="A40" s="8">
        <v>32</v>
      </c>
      <c r="B40" s="40" t="s">
        <v>198</v>
      </c>
      <c r="C40" s="8" t="s">
        <v>6</v>
      </c>
      <c r="D40" s="8">
        <v>1</v>
      </c>
      <c r="E40" s="10"/>
      <c r="F40" s="34">
        <v>1</v>
      </c>
      <c r="G40" s="3">
        <f>14104*1.2</f>
        <v>16924.8</v>
      </c>
      <c r="H40" s="3">
        <f t="shared" si="0"/>
        <v>16924.8</v>
      </c>
    </row>
    <row r="41" spans="1:13" ht="28.8" x14ac:dyDescent="0.3">
      <c r="A41" s="8">
        <v>33</v>
      </c>
      <c r="B41" s="48" t="s">
        <v>146</v>
      </c>
      <c r="C41" s="8" t="s">
        <v>6</v>
      </c>
      <c r="D41" s="8">
        <v>0</v>
      </c>
      <c r="E41" s="10"/>
      <c r="F41" s="34">
        <v>1</v>
      </c>
      <c r="G41" s="3">
        <v>10540</v>
      </c>
      <c r="H41" s="3">
        <f t="shared" si="0"/>
        <v>0</v>
      </c>
      <c r="I41" s="4" t="s">
        <v>199</v>
      </c>
    </row>
    <row r="42" spans="1:13" ht="28.8" x14ac:dyDescent="0.3">
      <c r="A42" s="8">
        <v>35</v>
      </c>
      <c r="B42" s="48" t="s">
        <v>147</v>
      </c>
      <c r="C42" s="8" t="s">
        <v>6</v>
      </c>
      <c r="D42" s="8">
        <v>1</v>
      </c>
      <c r="E42" s="10"/>
      <c r="F42" s="34">
        <v>1</v>
      </c>
      <c r="G42" s="1">
        <v>10546</v>
      </c>
      <c r="H42" s="3">
        <f t="shared" si="0"/>
        <v>10546</v>
      </c>
      <c r="I42" s="4" t="s">
        <v>199</v>
      </c>
    </row>
    <row r="43" spans="1:13" ht="57.6" x14ac:dyDescent="0.3">
      <c r="A43" s="8"/>
      <c r="B43" s="40" t="s">
        <v>200</v>
      </c>
      <c r="C43" s="8"/>
      <c r="D43" s="8">
        <v>1</v>
      </c>
      <c r="E43" s="10"/>
      <c r="F43" s="34">
        <v>1</v>
      </c>
      <c r="G43" s="1">
        <v>13404</v>
      </c>
      <c r="H43" s="3">
        <f t="shared" si="0"/>
        <v>13404</v>
      </c>
    </row>
    <row r="44" spans="1:13" ht="72" x14ac:dyDescent="0.3">
      <c r="A44" s="8">
        <v>36</v>
      </c>
      <c r="B44" s="40" t="s">
        <v>201</v>
      </c>
      <c r="C44" s="8" t="s">
        <v>6</v>
      </c>
      <c r="D44" s="8">
        <v>2</v>
      </c>
      <c r="E44" s="28"/>
      <c r="F44" s="34">
        <v>1</v>
      </c>
      <c r="G44" s="1">
        <v>30765</v>
      </c>
      <c r="H44" s="3">
        <f t="shared" si="0"/>
        <v>61530</v>
      </c>
    </row>
    <row r="45" spans="1:13" ht="115.2" x14ac:dyDescent="0.3">
      <c r="A45" s="8">
        <v>37</v>
      </c>
      <c r="B45" s="40" t="s">
        <v>202</v>
      </c>
      <c r="C45" s="8" t="s">
        <v>6</v>
      </c>
      <c r="D45" s="8">
        <v>2</v>
      </c>
      <c r="E45" s="10"/>
      <c r="F45" s="34">
        <v>2</v>
      </c>
      <c r="G45" s="1">
        <v>23077</v>
      </c>
      <c r="H45" s="3">
        <f t="shared" si="0"/>
        <v>46154</v>
      </c>
    </row>
    <row r="46" spans="1:13" ht="28.8" x14ac:dyDescent="0.3">
      <c r="A46" s="8">
        <v>38</v>
      </c>
      <c r="B46" s="40" t="s">
        <v>70</v>
      </c>
      <c r="C46" s="8" t="s">
        <v>6</v>
      </c>
      <c r="D46" s="8">
        <v>1</v>
      </c>
      <c r="E46" s="11"/>
      <c r="F46" s="34"/>
      <c r="G46" s="1">
        <v>2500</v>
      </c>
      <c r="H46" s="3">
        <f t="shared" si="0"/>
        <v>2500</v>
      </c>
    </row>
    <row r="47" spans="1:13" ht="28.8" x14ac:dyDescent="0.3">
      <c r="A47" s="8">
        <v>40</v>
      </c>
      <c r="B47" s="40" t="s">
        <v>28</v>
      </c>
      <c r="C47" s="8" t="s">
        <v>6</v>
      </c>
      <c r="D47" s="8">
        <v>1</v>
      </c>
      <c r="E47" s="11"/>
      <c r="F47" s="34">
        <v>14</v>
      </c>
      <c r="G47" s="1">
        <v>36120</v>
      </c>
      <c r="H47" s="3">
        <f t="shared" si="0"/>
        <v>36120</v>
      </c>
    </row>
    <row r="48" spans="1:13" x14ac:dyDescent="0.3">
      <c r="A48" s="8"/>
      <c r="B48" s="40" t="s">
        <v>128</v>
      </c>
      <c r="C48" s="8" t="s">
        <v>6</v>
      </c>
      <c r="D48" s="8">
        <v>1</v>
      </c>
      <c r="E48" s="11"/>
      <c r="F48" s="34">
        <v>14</v>
      </c>
      <c r="G48" s="1">
        <v>2500</v>
      </c>
      <c r="H48" s="3">
        <f t="shared" si="0"/>
        <v>2500</v>
      </c>
      <c r="J48" s="4">
        <v>1</v>
      </c>
    </row>
    <row r="49" spans="1:8" x14ac:dyDescent="0.3">
      <c r="A49" s="8">
        <v>41</v>
      </c>
      <c r="B49" s="40" t="s">
        <v>89</v>
      </c>
      <c r="C49" s="8" t="s">
        <v>6</v>
      </c>
      <c r="D49" s="8">
        <v>12</v>
      </c>
      <c r="E49" s="11"/>
      <c r="F49" s="34">
        <v>14</v>
      </c>
      <c r="G49" s="1">
        <v>2685</v>
      </c>
      <c r="H49" s="3">
        <f t="shared" si="0"/>
        <v>32220</v>
      </c>
    </row>
    <row r="50" spans="1:8" ht="72" x14ac:dyDescent="0.3">
      <c r="A50" s="8"/>
      <c r="B50" s="40" t="s">
        <v>156</v>
      </c>
      <c r="C50" s="8"/>
      <c r="D50" s="8">
        <v>11</v>
      </c>
      <c r="E50" s="11" t="s">
        <v>157</v>
      </c>
      <c r="F50" s="34"/>
      <c r="G50" s="1"/>
      <c r="H50" s="3">
        <f t="shared" si="0"/>
        <v>0</v>
      </c>
    </row>
    <row r="51" spans="1:8" ht="57.6" x14ac:dyDescent="0.3">
      <c r="A51" s="8"/>
      <c r="B51" s="40" t="s">
        <v>158</v>
      </c>
      <c r="C51" s="8"/>
      <c r="D51" s="8">
        <v>0</v>
      </c>
      <c r="E51" s="11" t="s">
        <v>159</v>
      </c>
      <c r="F51" s="34"/>
      <c r="G51" s="1"/>
      <c r="H51" s="3">
        <f t="shared" si="0"/>
        <v>0</v>
      </c>
    </row>
    <row r="52" spans="1:8" ht="72" x14ac:dyDescent="0.3">
      <c r="A52" s="8"/>
      <c r="B52" s="40" t="s">
        <v>160</v>
      </c>
      <c r="C52" s="8"/>
      <c r="D52" s="8">
        <v>1</v>
      </c>
      <c r="E52" s="11" t="s">
        <v>161</v>
      </c>
      <c r="F52" s="34"/>
      <c r="G52" s="1">
        <v>1000</v>
      </c>
      <c r="H52" s="3">
        <f t="shared" si="0"/>
        <v>1000</v>
      </c>
    </row>
    <row r="53" spans="1:8" ht="28.8" x14ac:dyDescent="0.3">
      <c r="A53" s="8"/>
      <c r="B53" s="40" t="s">
        <v>162</v>
      </c>
      <c r="C53" s="8"/>
      <c r="D53" s="8">
        <v>12</v>
      </c>
      <c r="E53" s="11" t="s">
        <v>163</v>
      </c>
      <c r="F53" s="34"/>
      <c r="G53" s="1">
        <v>1500</v>
      </c>
      <c r="H53" s="3">
        <f t="shared" si="0"/>
        <v>18000</v>
      </c>
    </row>
    <row r="54" spans="1:8" x14ac:dyDescent="0.3">
      <c r="A54" s="8">
        <v>42</v>
      </c>
      <c r="B54" s="40" t="s">
        <v>90</v>
      </c>
      <c r="C54" s="8" t="s">
        <v>6</v>
      </c>
      <c r="D54" s="8">
        <v>10</v>
      </c>
      <c r="E54" s="11"/>
      <c r="F54" s="34">
        <v>14</v>
      </c>
      <c r="G54" s="1">
        <v>1500</v>
      </c>
      <c r="H54" s="3">
        <f t="shared" si="0"/>
        <v>15000</v>
      </c>
    </row>
    <row r="55" spans="1:8" ht="72" x14ac:dyDescent="0.3">
      <c r="A55" s="8"/>
      <c r="B55" s="40" t="s">
        <v>164</v>
      </c>
      <c r="C55" s="8"/>
      <c r="D55" s="8">
        <v>2</v>
      </c>
      <c r="E55" s="11" t="s">
        <v>161</v>
      </c>
      <c r="F55" s="34"/>
      <c r="G55" s="1"/>
      <c r="H55" s="3">
        <f t="shared" si="0"/>
        <v>0</v>
      </c>
    </row>
    <row r="56" spans="1:8" ht="72" x14ac:dyDescent="0.3">
      <c r="A56" s="8"/>
      <c r="B56" s="40" t="s">
        <v>165</v>
      </c>
      <c r="C56" s="8"/>
      <c r="D56" s="8">
        <v>4</v>
      </c>
      <c r="E56" s="11" t="s">
        <v>166</v>
      </c>
      <c r="F56" s="34"/>
      <c r="G56" s="1"/>
      <c r="H56" s="3">
        <f t="shared" si="0"/>
        <v>0</v>
      </c>
    </row>
    <row r="57" spans="1:8" x14ac:dyDescent="0.3">
      <c r="A57" s="8"/>
      <c r="B57" s="10"/>
      <c r="C57" s="8"/>
      <c r="D57" s="8"/>
      <c r="E57" s="11"/>
      <c r="F57" s="34"/>
      <c r="G57" s="1"/>
      <c r="H57" s="3">
        <f t="shared" si="0"/>
        <v>0</v>
      </c>
    </row>
    <row r="58" spans="1:8" x14ac:dyDescent="0.3">
      <c r="A58" s="8">
        <v>43</v>
      </c>
      <c r="B58" s="40" t="s">
        <v>93</v>
      </c>
      <c r="C58" s="8" t="s">
        <v>12</v>
      </c>
      <c r="D58" s="8">
        <v>1</v>
      </c>
      <c r="E58" s="11"/>
      <c r="F58" s="34">
        <v>14</v>
      </c>
      <c r="G58" s="1">
        <v>1000</v>
      </c>
      <c r="H58" s="3">
        <f t="shared" si="0"/>
        <v>1000</v>
      </c>
    </row>
    <row r="59" spans="1:8" x14ac:dyDescent="0.3">
      <c r="A59" s="8">
        <v>44</v>
      </c>
      <c r="B59" s="40" t="s">
        <v>94</v>
      </c>
      <c r="C59" s="8" t="s">
        <v>12</v>
      </c>
      <c r="D59" s="8">
        <v>1</v>
      </c>
      <c r="E59" s="11"/>
      <c r="F59" s="34">
        <v>14</v>
      </c>
      <c r="G59" s="1">
        <v>1000</v>
      </c>
      <c r="H59" s="3">
        <f t="shared" si="0"/>
        <v>1000</v>
      </c>
    </row>
    <row r="60" spans="1:8" ht="43.2" x14ac:dyDescent="0.3">
      <c r="A60" s="8">
        <v>45</v>
      </c>
      <c r="B60" s="40" t="s">
        <v>95</v>
      </c>
      <c r="C60" s="8" t="s">
        <v>6</v>
      </c>
      <c r="D60" s="8">
        <v>1</v>
      </c>
      <c r="E60" s="11"/>
      <c r="F60" s="34">
        <v>14</v>
      </c>
      <c r="G60" s="1">
        <v>318</v>
      </c>
      <c r="H60" s="3">
        <f t="shared" si="0"/>
        <v>318</v>
      </c>
    </row>
    <row r="61" spans="1:8" x14ac:dyDescent="0.3">
      <c r="A61" s="8">
        <v>46</v>
      </c>
      <c r="B61" s="40" t="s">
        <v>96</v>
      </c>
      <c r="C61" s="8" t="s">
        <v>12</v>
      </c>
      <c r="D61" s="8">
        <v>1</v>
      </c>
      <c r="E61" s="11"/>
      <c r="F61" s="34">
        <v>14</v>
      </c>
      <c r="G61" s="1">
        <v>3000</v>
      </c>
      <c r="H61" s="3">
        <f t="shared" si="0"/>
        <v>3000</v>
      </c>
    </row>
    <row r="62" spans="1:8" ht="28.8" x14ac:dyDescent="0.3">
      <c r="A62" s="8">
        <v>47</v>
      </c>
      <c r="B62" s="40" t="s">
        <v>97</v>
      </c>
      <c r="C62" s="8" t="s">
        <v>98</v>
      </c>
      <c r="D62" s="8">
        <v>6</v>
      </c>
      <c r="E62" s="11"/>
      <c r="F62" s="34">
        <v>14</v>
      </c>
      <c r="G62" s="1">
        <v>1300</v>
      </c>
      <c r="H62" s="3">
        <f t="shared" si="0"/>
        <v>7800</v>
      </c>
    </row>
    <row r="63" spans="1:8" ht="43.2" x14ac:dyDescent="0.3">
      <c r="A63" s="8">
        <v>48</v>
      </c>
      <c r="B63" s="40" t="s">
        <v>99</v>
      </c>
      <c r="C63" s="8" t="s">
        <v>6</v>
      </c>
      <c r="D63" s="8">
        <v>0</v>
      </c>
      <c r="E63" s="11"/>
      <c r="F63" s="34">
        <v>14</v>
      </c>
      <c r="G63" s="1">
        <f>385*1.2</f>
        <v>462</v>
      </c>
      <c r="H63" s="3">
        <f t="shared" si="0"/>
        <v>0</v>
      </c>
    </row>
    <row r="64" spans="1:8" ht="43.2" x14ac:dyDescent="0.3">
      <c r="A64" s="8">
        <v>49</v>
      </c>
      <c r="B64" s="40" t="s">
        <v>100</v>
      </c>
      <c r="C64" s="8" t="s">
        <v>6</v>
      </c>
      <c r="D64" s="8">
        <v>1</v>
      </c>
      <c r="E64" s="11"/>
      <c r="F64" s="34">
        <v>14</v>
      </c>
      <c r="G64" s="1">
        <f>2585*1.2</f>
        <v>3102</v>
      </c>
      <c r="H64" s="3">
        <f t="shared" si="0"/>
        <v>3102</v>
      </c>
    </row>
    <row r="65" spans="1:10" ht="43.2" x14ac:dyDescent="0.3">
      <c r="A65" s="8">
        <v>50</v>
      </c>
      <c r="B65" s="40" t="s">
        <v>101</v>
      </c>
      <c r="C65" s="8" t="s">
        <v>6</v>
      </c>
      <c r="D65" s="8">
        <v>1</v>
      </c>
      <c r="E65" s="11"/>
      <c r="F65" s="34">
        <v>14</v>
      </c>
      <c r="G65" s="1">
        <f>770*1.2</f>
        <v>924</v>
      </c>
      <c r="H65" s="3">
        <f t="shared" si="0"/>
        <v>924</v>
      </c>
    </row>
    <row r="66" spans="1:10" x14ac:dyDescent="0.3">
      <c r="A66" s="8"/>
      <c r="B66" s="40" t="s">
        <v>142</v>
      </c>
      <c r="C66" s="8" t="s">
        <v>6</v>
      </c>
      <c r="D66" s="8">
        <v>3</v>
      </c>
      <c r="E66" s="11"/>
      <c r="F66" s="34"/>
      <c r="G66" s="1">
        <v>1500</v>
      </c>
      <c r="H66" s="3">
        <f t="shared" si="0"/>
        <v>4500</v>
      </c>
      <c r="J66" s="4">
        <v>3</v>
      </c>
    </row>
    <row r="67" spans="1:10" x14ac:dyDescent="0.3">
      <c r="A67" s="8">
        <v>51</v>
      </c>
      <c r="B67" s="40" t="s">
        <v>91</v>
      </c>
      <c r="C67" s="8" t="s">
        <v>92</v>
      </c>
      <c r="D67" s="8">
        <v>10</v>
      </c>
      <c r="E67" s="11"/>
      <c r="F67" s="34">
        <v>14</v>
      </c>
      <c r="G67" s="1">
        <v>240</v>
      </c>
      <c r="H67" s="3">
        <f t="shared" si="0"/>
        <v>2400</v>
      </c>
    </row>
    <row r="68" spans="1:10" x14ac:dyDescent="0.3">
      <c r="A68" s="8">
        <v>52</v>
      </c>
      <c r="B68" s="40" t="s">
        <v>121</v>
      </c>
      <c r="C68" s="8" t="s">
        <v>12</v>
      </c>
      <c r="D68" s="8">
        <v>1</v>
      </c>
      <c r="E68" s="11"/>
      <c r="F68" s="34">
        <v>14</v>
      </c>
      <c r="G68" s="1">
        <v>20000</v>
      </c>
      <c r="H68" s="3">
        <f t="shared" si="0"/>
        <v>20000</v>
      </c>
    </row>
    <row r="69" spans="1:10" x14ac:dyDescent="0.3">
      <c r="A69" s="8">
        <v>53</v>
      </c>
      <c r="B69" s="40" t="s">
        <v>16</v>
      </c>
      <c r="C69" s="8" t="s">
        <v>12</v>
      </c>
      <c r="D69" s="8">
        <v>1</v>
      </c>
      <c r="E69" s="4" t="s">
        <v>172</v>
      </c>
      <c r="F69" s="11">
        <v>0</v>
      </c>
      <c r="G69" s="1">
        <v>444000</v>
      </c>
      <c r="H69" s="3">
        <f t="shared" si="0"/>
        <v>444000</v>
      </c>
    </row>
    <row r="70" spans="1:10" x14ac:dyDescent="0.3">
      <c r="A70" s="8">
        <v>54</v>
      </c>
      <c r="B70" s="40" t="s">
        <v>17</v>
      </c>
      <c r="C70" s="8" t="s">
        <v>11</v>
      </c>
      <c r="D70" s="8"/>
      <c r="E70" s="11"/>
      <c r="F70" s="11">
        <v>0</v>
      </c>
      <c r="G70" s="1"/>
      <c r="H70" s="3">
        <f t="shared" si="0"/>
        <v>0</v>
      </c>
    </row>
    <row r="71" spans="1:10" x14ac:dyDescent="0.3">
      <c r="A71" s="8">
        <v>55</v>
      </c>
      <c r="B71" s="40" t="s">
        <v>13</v>
      </c>
      <c r="C71" s="8" t="s">
        <v>6</v>
      </c>
      <c r="D71" s="8">
        <v>100</v>
      </c>
      <c r="E71" s="11"/>
      <c r="F71" s="11"/>
      <c r="G71" s="1">
        <v>440</v>
      </c>
      <c r="H71" s="3">
        <f t="shared" ref="H71:H80" si="1">D71*G71</f>
        <v>44000</v>
      </c>
    </row>
    <row r="72" spans="1:10" x14ac:dyDescent="0.3">
      <c r="A72" s="8">
        <v>56</v>
      </c>
      <c r="B72" s="40" t="s">
        <v>18</v>
      </c>
      <c r="C72" s="8" t="s">
        <v>6</v>
      </c>
      <c r="D72" s="8"/>
      <c r="E72" s="11"/>
      <c r="F72" s="11">
        <v>0</v>
      </c>
      <c r="G72" s="1"/>
      <c r="H72" s="3">
        <f t="shared" si="1"/>
        <v>0</v>
      </c>
    </row>
    <row r="73" spans="1:10" x14ac:dyDescent="0.3">
      <c r="A73" s="8">
        <v>57</v>
      </c>
      <c r="B73" s="40" t="s">
        <v>19</v>
      </c>
      <c r="C73" s="8" t="s">
        <v>6</v>
      </c>
      <c r="D73" s="8"/>
      <c r="E73" s="11"/>
      <c r="F73" s="11">
        <v>0</v>
      </c>
      <c r="G73" s="1"/>
      <c r="H73" s="3">
        <f t="shared" si="1"/>
        <v>0</v>
      </c>
    </row>
    <row r="74" spans="1:10" ht="28.8" x14ac:dyDescent="0.3">
      <c r="A74" s="8">
        <v>58</v>
      </c>
      <c r="B74" s="40" t="s">
        <v>185</v>
      </c>
      <c r="C74" s="8" t="s">
        <v>12</v>
      </c>
      <c r="D74" s="8">
        <v>2</v>
      </c>
      <c r="E74" s="11"/>
      <c r="F74" s="11"/>
      <c r="G74" s="1">
        <v>25000</v>
      </c>
      <c r="H74" s="3">
        <f t="shared" si="1"/>
        <v>50000</v>
      </c>
    </row>
    <row r="75" spans="1:10" x14ac:dyDescent="0.3">
      <c r="A75" s="8">
        <v>59</v>
      </c>
      <c r="B75" s="40" t="s">
        <v>20</v>
      </c>
      <c r="C75" s="8" t="s">
        <v>6</v>
      </c>
      <c r="D75" s="8">
        <v>0</v>
      </c>
      <c r="E75" s="11"/>
      <c r="F75" s="11">
        <v>0</v>
      </c>
      <c r="G75" s="1"/>
      <c r="H75" s="3">
        <f t="shared" si="1"/>
        <v>0</v>
      </c>
    </row>
    <row r="76" spans="1:10" ht="28.8" x14ac:dyDescent="0.3">
      <c r="A76" s="8">
        <v>60</v>
      </c>
      <c r="B76" s="40" t="s">
        <v>184</v>
      </c>
      <c r="C76" s="8" t="s">
        <v>12</v>
      </c>
      <c r="D76" s="8">
        <v>2</v>
      </c>
      <c r="E76" s="11"/>
      <c r="F76" s="11"/>
      <c r="G76" s="1">
        <v>50000</v>
      </c>
      <c r="H76" s="3">
        <f t="shared" si="1"/>
        <v>100000</v>
      </c>
    </row>
    <row r="77" spans="1:10" x14ac:dyDescent="0.3">
      <c r="A77" s="8">
        <v>61</v>
      </c>
      <c r="B77" s="40" t="s">
        <v>21</v>
      </c>
      <c r="C77" s="8" t="s">
        <v>12</v>
      </c>
      <c r="D77" s="8">
        <v>1</v>
      </c>
      <c r="E77" s="11"/>
      <c r="F77" s="11"/>
      <c r="G77" s="1">
        <v>14320</v>
      </c>
      <c r="H77" s="3">
        <f t="shared" si="1"/>
        <v>14320</v>
      </c>
    </row>
    <row r="78" spans="1:10" x14ac:dyDescent="0.3">
      <c r="A78" s="8">
        <v>62</v>
      </c>
      <c r="B78" s="40" t="s">
        <v>22</v>
      </c>
      <c r="C78" s="8" t="s">
        <v>6</v>
      </c>
      <c r="D78" s="8">
        <v>1</v>
      </c>
      <c r="E78" s="11"/>
      <c r="F78" s="11">
        <v>14</v>
      </c>
      <c r="G78" s="1">
        <v>120000</v>
      </c>
      <c r="H78" s="3">
        <f t="shared" si="1"/>
        <v>120000</v>
      </c>
    </row>
    <row r="79" spans="1:10" x14ac:dyDescent="0.3">
      <c r="A79" s="8">
        <v>63</v>
      </c>
      <c r="B79" s="40" t="s">
        <v>23</v>
      </c>
      <c r="C79" s="8" t="s">
        <v>6</v>
      </c>
      <c r="D79" s="8">
        <v>2</v>
      </c>
      <c r="E79" s="11"/>
      <c r="F79" s="11">
        <v>14</v>
      </c>
      <c r="G79" s="1">
        <v>30000</v>
      </c>
      <c r="H79" s="3">
        <f t="shared" si="1"/>
        <v>60000</v>
      </c>
    </row>
    <row r="80" spans="1:10" x14ac:dyDescent="0.3">
      <c r="A80" s="8"/>
      <c r="B80" s="40" t="s">
        <v>186</v>
      </c>
      <c r="C80" s="8" t="s">
        <v>12</v>
      </c>
      <c r="D80" s="8">
        <v>1</v>
      </c>
      <c r="E80" s="11"/>
      <c r="F80" s="11"/>
      <c r="G80" s="1">
        <v>25000</v>
      </c>
      <c r="H80" s="3">
        <f t="shared" si="1"/>
        <v>25000</v>
      </c>
    </row>
    <row r="81" spans="1:13" x14ac:dyDescent="0.3">
      <c r="A81" s="8">
        <v>64</v>
      </c>
      <c r="B81" s="10" t="s">
        <v>24</v>
      </c>
      <c r="C81" s="8" t="s">
        <v>12</v>
      </c>
      <c r="D81" s="8">
        <v>1</v>
      </c>
      <c r="E81" s="11"/>
      <c r="F81" s="11"/>
      <c r="G81" s="1"/>
      <c r="H81" s="3">
        <f>D81*G81</f>
        <v>0</v>
      </c>
    </row>
    <row r="82" spans="1:13" ht="27" customHeight="1" x14ac:dyDescent="0.3">
      <c r="A82" s="8">
        <v>65</v>
      </c>
      <c r="B82" s="40" t="s">
        <v>126</v>
      </c>
      <c r="C82" s="8" t="s">
        <v>12</v>
      </c>
      <c r="D82" s="8">
        <v>1</v>
      </c>
      <c r="E82" s="60" t="s">
        <v>125</v>
      </c>
      <c r="F82" s="11"/>
      <c r="G82" s="25">
        <f>920000/3</f>
        <v>306666.66666666669</v>
      </c>
      <c r="H82" s="3">
        <f>D82*G82+7000</f>
        <v>313666.66666666669</v>
      </c>
    </row>
    <row r="83" spans="1:13" ht="15.6" customHeight="1" x14ac:dyDescent="0.3">
      <c r="A83" s="8">
        <v>66</v>
      </c>
      <c r="B83" s="40" t="s">
        <v>103</v>
      </c>
      <c r="C83" s="16" t="s">
        <v>98</v>
      </c>
      <c r="D83" s="16">
        <v>300</v>
      </c>
      <c r="E83" s="61"/>
      <c r="F83" s="17"/>
      <c r="G83" s="16"/>
      <c r="H83" s="50">
        <f>609000/3</f>
        <v>203000</v>
      </c>
    </row>
    <row r="84" spans="1:13" ht="15.6" x14ac:dyDescent="0.3">
      <c r="A84" s="8">
        <v>67</v>
      </c>
      <c r="B84" s="40" t="s">
        <v>104</v>
      </c>
      <c r="C84" s="16" t="s">
        <v>98</v>
      </c>
      <c r="D84" s="16">
        <v>132</v>
      </c>
      <c r="E84" s="61"/>
      <c r="F84" s="17"/>
      <c r="G84" s="16"/>
      <c r="H84" s="51"/>
    </row>
    <row r="85" spans="1:13" ht="15.6" x14ac:dyDescent="0.3">
      <c r="A85" s="8">
        <v>68</v>
      </c>
      <c r="B85" s="40" t="s">
        <v>105</v>
      </c>
      <c r="C85" s="16" t="s">
        <v>98</v>
      </c>
      <c r="D85" s="16">
        <v>150</v>
      </c>
      <c r="E85" s="61"/>
      <c r="F85" s="17"/>
      <c r="G85" s="16"/>
      <c r="H85" s="52"/>
    </row>
    <row r="86" spans="1:13" ht="15.6" x14ac:dyDescent="0.3">
      <c r="A86" s="8">
        <v>69</v>
      </c>
      <c r="B86" s="10" t="s">
        <v>106</v>
      </c>
      <c r="C86" s="16" t="s">
        <v>98</v>
      </c>
      <c r="D86" s="16">
        <v>162</v>
      </c>
      <c r="E86" s="61"/>
      <c r="F86" s="17"/>
      <c r="G86" s="16"/>
      <c r="H86" s="53">
        <f>(41000+204000+170000+27999+3900)/3</f>
        <v>148966.33333333334</v>
      </c>
    </row>
    <row r="87" spans="1:13" ht="15.6" x14ac:dyDescent="0.3">
      <c r="A87" s="8">
        <v>70</v>
      </c>
      <c r="B87" s="10" t="s">
        <v>107</v>
      </c>
      <c r="C87" s="16" t="s">
        <v>98</v>
      </c>
      <c r="D87" s="16">
        <v>222</v>
      </c>
      <c r="E87" s="61"/>
      <c r="F87" s="17"/>
      <c r="G87" s="16"/>
      <c r="H87" s="54"/>
    </row>
    <row r="88" spans="1:13" ht="15.6" x14ac:dyDescent="0.3">
      <c r="A88" s="8">
        <v>71</v>
      </c>
      <c r="B88" s="10" t="s">
        <v>108</v>
      </c>
      <c r="C88" s="16" t="s">
        <v>98</v>
      </c>
      <c r="D88" s="16">
        <v>24</v>
      </c>
      <c r="E88" s="61"/>
      <c r="F88" s="17"/>
      <c r="G88" s="25" t="s">
        <v>130</v>
      </c>
      <c r="H88" s="54"/>
    </row>
    <row r="89" spans="1:13" ht="15.6" x14ac:dyDescent="0.3">
      <c r="A89" s="8">
        <v>72</v>
      </c>
      <c r="B89" s="10" t="s">
        <v>109</v>
      </c>
      <c r="C89" s="16" t="s">
        <v>98</v>
      </c>
      <c r="D89" s="16">
        <v>18</v>
      </c>
      <c r="E89" s="61"/>
      <c r="F89" s="17"/>
      <c r="G89" s="16"/>
      <c r="H89" s="54"/>
    </row>
    <row r="90" spans="1:13" ht="15.6" x14ac:dyDescent="0.3">
      <c r="A90" s="8">
        <v>73</v>
      </c>
      <c r="B90" s="10" t="s">
        <v>110</v>
      </c>
      <c r="C90" s="16" t="s">
        <v>98</v>
      </c>
      <c r="D90" s="16">
        <v>162</v>
      </c>
      <c r="E90" s="61"/>
      <c r="F90" s="17"/>
      <c r="G90" s="16"/>
      <c r="H90" s="55"/>
    </row>
    <row r="91" spans="1:13" x14ac:dyDescent="0.3">
      <c r="A91" s="8">
        <v>74</v>
      </c>
      <c r="B91" s="10" t="s">
        <v>180</v>
      </c>
      <c r="C91" s="8" t="s">
        <v>12</v>
      </c>
      <c r="D91" s="8">
        <v>1</v>
      </c>
      <c r="E91" s="61"/>
      <c r="F91" s="11"/>
      <c r="G91" s="1">
        <v>5000</v>
      </c>
      <c r="H91" s="36">
        <f>D91*G91</f>
        <v>5000</v>
      </c>
    </row>
    <row r="92" spans="1:13" x14ac:dyDescent="0.3">
      <c r="A92" s="8">
        <v>75</v>
      </c>
      <c r="B92" s="40" t="s">
        <v>84</v>
      </c>
      <c r="C92" s="8" t="s">
        <v>12</v>
      </c>
      <c r="D92" s="8">
        <v>1</v>
      </c>
      <c r="E92" s="61"/>
      <c r="F92" s="11">
        <v>0</v>
      </c>
      <c r="G92" s="1"/>
      <c r="H92" s="3">
        <f>D92*G92</f>
        <v>0</v>
      </c>
    </row>
    <row r="93" spans="1:13" x14ac:dyDescent="0.3">
      <c r="A93" s="8">
        <v>76</v>
      </c>
      <c r="B93" s="10" t="s">
        <v>85</v>
      </c>
      <c r="C93" s="8" t="s">
        <v>12</v>
      </c>
      <c r="D93" s="8">
        <v>1</v>
      </c>
      <c r="E93" s="61"/>
      <c r="F93" s="11"/>
      <c r="G93" s="1"/>
      <c r="H93" s="3">
        <v>31000</v>
      </c>
    </row>
    <row r="94" spans="1:13" x14ac:dyDescent="0.3">
      <c r="A94" s="8">
        <v>77</v>
      </c>
      <c r="B94" s="10" t="s">
        <v>86</v>
      </c>
      <c r="C94" s="8" t="s">
        <v>12</v>
      </c>
      <c r="D94" s="8">
        <v>1</v>
      </c>
      <c r="E94" s="61"/>
      <c r="F94" s="11">
        <v>7</v>
      </c>
      <c r="G94" s="1"/>
      <c r="H94" s="3">
        <f>D94*G94</f>
        <v>0</v>
      </c>
    </row>
    <row r="95" spans="1:13" x14ac:dyDescent="0.3">
      <c r="A95" s="8">
        <v>78</v>
      </c>
      <c r="B95" s="40" t="s">
        <v>87</v>
      </c>
      <c r="C95" s="8" t="s">
        <v>12</v>
      </c>
      <c r="D95" s="8">
        <v>1</v>
      </c>
      <c r="E95" s="62"/>
      <c r="F95" s="11">
        <v>14</v>
      </c>
      <c r="G95" s="1">
        <v>35000</v>
      </c>
      <c r="H95" s="3">
        <f>D95*G95</f>
        <v>35000</v>
      </c>
    </row>
    <row r="96" spans="1:13" x14ac:dyDescent="0.3">
      <c r="A96" s="8">
        <v>79</v>
      </c>
      <c r="B96" s="10"/>
      <c r="C96" s="18"/>
      <c r="D96" s="18"/>
      <c r="E96" s="19"/>
      <c r="F96" s="20"/>
      <c r="G96" s="21" t="s">
        <v>176</v>
      </c>
      <c r="H96" s="19">
        <f>SUM(H11:H95)</f>
        <v>3138178.2079999996</v>
      </c>
      <c r="J96" s="4">
        <f>SUM(J11:J95)</f>
        <v>27</v>
      </c>
      <c r="K96" s="4">
        <f>SUM(K11:K95)</f>
        <v>23</v>
      </c>
      <c r="L96" s="4">
        <f>SUM(L11:L95)</f>
        <v>7</v>
      </c>
      <c r="M96" s="4">
        <f>SUM(M11:M95)</f>
        <v>8</v>
      </c>
    </row>
    <row r="97" spans="1:16" ht="43.2" x14ac:dyDescent="0.3">
      <c r="A97" s="9"/>
      <c r="B97" s="37" t="s">
        <v>173</v>
      </c>
      <c r="C97" s="38" t="s">
        <v>174</v>
      </c>
      <c r="D97" s="38">
        <f>4*10*24</f>
        <v>960</v>
      </c>
      <c r="E97" s="22" t="s">
        <v>175</v>
      </c>
      <c r="F97" s="22"/>
      <c r="G97" s="38">
        <f>700*1.2*1.45</f>
        <v>1218</v>
      </c>
      <c r="H97" s="22">
        <f>D97*G97</f>
        <v>1169280</v>
      </c>
      <c r="J97" s="43">
        <f>J98+J99+J100+J101</f>
        <v>30</v>
      </c>
      <c r="K97" s="43">
        <f>K98+K99+K100+K101</f>
        <v>26</v>
      </c>
      <c r="L97" s="43">
        <f>L98+L99+L101+L102</f>
        <v>8</v>
      </c>
      <c r="M97" s="43">
        <f>M98+M99+M101+M102</f>
        <v>8</v>
      </c>
      <c r="N97"/>
      <c r="O97"/>
      <c r="P97"/>
    </row>
    <row r="98" spans="1:16" ht="15.6" x14ac:dyDescent="0.3">
      <c r="A98" s="9"/>
      <c r="B98" s="37"/>
      <c r="C98" s="38"/>
      <c r="D98" s="38"/>
      <c r="E98" s="22"/>
      <c r="F98" s="22"/>
      <c r="G98" s="21" t="s">
        <v>177</v>
      </c>
      <c r="H98" s="22">
        <f>H96+H97</f>
        <v>4307458.2079999996</v>
      </c>
      <c r="J98" s="44">
        <v>14</v>
      </c>
      <c r="K98" s="44">
        <v>10</v>
      </c>
      <c r="L98" s="44"/>
      <c r="M98" s="44"/>
      <c r="N98" t="s">
        <v>191</v>
      </c>
      <c r="O98"/>
      <c r="P98"/>
    </row>
    <row r="99" spans="1:16" ht="15.6" x14ac:dyDescent="0.3">
      <c r="A99" s="9"/>
      <c r="B99" s="37"/>
      <c r="C99" s="38"/>
      <c r="D99" s="38"/>
      <c r="E99" s="22"/>
      <c r="F99" s="22"/>
      <c r="G99" s="38" t="s">
        <v>178</v>
      </c>
      <c r="H99" s="22">
        <f>H98*1.3</f>
        <v>5599695.6704000002</v>
      </c>
      <c r="I99" s="22">
        <v>5090000</v>
      </c>
      <c r="J99" s="44">
        <v>16</v>
      </c>
      <c r="K99" s="44"/>
      <c r="L99" s="44"/>
      <c r="M99" s="44"/>
      <c r="N99" s="47" t="s">
        <v>193</v>
      </c>
      <c r="O99" s="47"/>
      <c r="P99" s="47"/>
    </row>
    <row r="100" spans="1:16" ht="15.6" x14ac:dyDescent="0.3">
      <c r="A100" s="9"/>
      <c r="B100" s="37" t="s">
        <v>181</v>
      </c>
      <c r="C100" s="38"/>
      <c r="D100" s="38">
        <f>14000+14000+30000+105000</f>
        <v>163000</v>
      </c>
      <c r="E100" s="22"/>
      <c r="F100" s="22"/>
      <c r="G100" s="38"/>
      <c r="H100" s="22">
        <f>H99*0.05</f>
        <v>279984.78352</v>
      </c>
      <c r="J100" s="45"/>
      <c r="K100" s="44">
        <v>16</v>
      </c>
      <c r="N100" s="47" t="s">
        <v>192</v>
      </c>
      <c r="O100" s="47"/>
      <c r="P100" s="47"/>
    </row>
    <row r="101" spans="1:16" x14ac:dyDescent="0.3">
      <c r="A101" s="9"/>
      <c r="B101" s="37" t="s">
        <v>182</v>
      </c>
      <c r="C101" s="38"/>
      <c r="D101" s="38">
        <v>17300</v>
      </c>
      <c r="E101" s="22"/>
      <c r="F101" s="22"/>
      <c r="G101" s="38"/>
      <c r="H101" s="22"/>
      <c r="J101" s="45"/>
      <c r="K101" s="46"/>
      <c r="L101">
        <v>8</v>
      </c>
      <c r="M101"/>
      <c r="N101" t="s">
        <v>194</v>
      </c>
      <c r="O101"/>
      <c r="P101"/>
    </row>
    <row r="102" spans="1:16" x14ac:dyDescent="0.3">
      <c r="A102" s="9"/>
      <c r="B102" s="37"/>
      <c r="C102" s="38"/>
      <c r="D102" s="38"/>
      <c r="E102" s="22"/>
      <c r="F102" s="22"/>
      <c r="G102" s="38"/>
      <c r="H102" s="22"/>
      <c r="L102"/>
      <c r="M102">
        <v>8</v>
      </c>
      <c r="N102" t="s">
        <v>195</v>
      </c>
      <c r="O102"/>
      <c r="P102"/>
    </row>
    <row r="103" spans="1:16" x14ac:dyDescent="0.3">
      <c r="A103" s="9"/>
      <c r="B103" s="37"/>
      <c r="C103" s="38"/>
      <c r="D103" s="38"/>
      <c r="E103" s="22"/>
      <c r="F103" s="22"/>
      <c r="G103" s="38"/>
      <c r="H103" s="22"/>
    </row>
    <row r="104" spans="1:16" x14ac:dyDescent="0.3">
      <c r="A104" s="9"/>
      <c r="B104" s="37"/>
      <c r="C104" s="38"/>
      <c r="D104" s="38"/>
      <c r="E104" s="22"/>
      <c r="F104" s="22"/>
      <c r="G104" s="38"/>
      <c r="H104" s="22"/>
    </row>
    <row r="106" spans="1:16" ht="24.6" customHeight="1" x14ac:dyDescent="0.3">
      <c r="C106" s="24" t="s">
        <v>122</v>
      </c>
      <c r="D106" s="24"/>
      <c r="G106" s="24"/>
      <c r="H106" s="24"/>
    </row>
    <row r="107" spans="1:16" ht="24.6" customHeight="1" x14ac:dyDescent="0.3">
      <c r="C107" s="24" t="s">
        <v>123</v>
      </c>
      <c r="D107" s="24"/>
      <c r="G107" s="24"/>
      <c r="H107" s="24"/>
      <c r="N107" s="26"/>
    </row>
    <row r="108" spans="1:16" ht="24.6" customHeight="1" x14ac:dyDescent="0.3">
      <c r="C108" s="24" t="s">
        <v>111</v>
      </c>
      <c r="D108" s="24"/>
      <c r="G108" s="24"/>
      <c r="H108" s="24"/>
    </row>
    <row r="109" spans="1:16" ht="24.6" customHeight="1" x14ac:dyDescent="0.3">
      <c r="C109" s="24" t="s">
        <v>124</v>
      </c>
      <c r="D109" s="24"/>
      <c r="G109" s="24"/>
      <c r="H109" s="24"/>
    </row>
    <row r="110" spans="1:16" ht="15.6" x14ac:dyDescent="0.3">
      <c r="C110" s="24"/>
    </row>
    <row r="111" spans="1:16" ht="15.6" x14ac:dyDescent="0.3">
      <c r="C111" s="29" t="s">
        <v>112</v>
      </c>
      <c r="D111" s="29"/>
      <c r="G111" s="29"/>
      <c r="H111" s="29"/>
    </row>
    <row r="112" spans="1:16" ht="15.6" x14ac:dyDescent="0.3">
      <c r="C112" s="24"/>
    </row>
    <row r="113" spans="3:8" ht="15.6" x14ac:dyDescent="0.3">
      <c r="C113" s="24" t="s">
        <v>113</v>
      </c>
      <c r="D113" s="24"/>
      <c r="G113" s="24"/>
      <c r="H113" s="24"/>
    </row>
  </sheetData>
  <mergeCells count="12">
    <mergeCell ref="A1:E1"/>
    <mergeCell ref="A2:E2"/>
    <mergeCell ref="A3:E3"/>
    <mergeCell ref="A4:E4"/>
    <mergeCell ref="A5:E5"/>
    <mergeCell ref="H83:H85"/>
    <mergeCell ref="H86:H90"/>
    <mergeCell ref="A6:E6"/>
    <mergeCell ref="A7:E7"/>
    <mergeCell ref="A8:E8"/>
    <mergeCell ref="A9:E9"/>
    <mergeCell ref="E82:E95"/>
  </mergeCells>
  <pageMargins left="0.7" right="0.7" top="0.75" bottom="0.75" header="0.3" footer="0.3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5" sqref="E5"/>
    </sheetView>
  </sheetViews>
  <sheetFormatPr defaultRowHeight="14.4" x14ac:dyDescent="0.3"/>
  <cols>
    <col min="3" max="3" width="37" bestFit="1" customWidth="1"/>
    <col min="4" max="4" width="20" bestFit="1" customWidth="1"/>
    <col min="5" max="5" width="50.33203125" bestFit="1" customWidth="1"/>
  </cols>
  <sheetData>
    <row r="1" spans="1:5" x14ac:dyDescent="0.3">
      <c r="A1" t="s">
        <v>44</v>
      </c>
      <c r="B1" t="s">
        <v>45</v>
      </c>
      <c r="C1" t="s">
        <v>46</v>
      </c>
      <c r="D1" t="s">
        <v>47</v>
      </c>
    </row>
    <row r="2" spans="1:5" x14ac:dyDescent="0.3">
      <c r="A2" t="s">
        <v>48</v>
      </c>
      <c r="B2" t="s">
        <v>49</v>
      </c>
      <c r="C2" t="s">
        <v>50</v>
      </c>
      <c r="D2" t="s">
        <v>51</v>
      </c>
      <c r="E2" t="str">
        <f>CONCATENATE(C2,"  арт.  ",D2)</f>
        <v>Stand.sectional Rail 35mm, Length 483mm  арт.  6ES5710-8MA11</v>
      </c>
    </row>
    <row r="3" spans="1:5" x14ac:dyDescent="0.3">
      <c r="A3" t="s">
        <v>48</v>
      </c>
      <c r="B3" t="s">
        <v>49</v>
      </c>
      <c r="C3" t="s">
        <v>7</v>
      </c>
      <c r="D3" t="s">
        <v>52</v>
      </c>
      <c r="E3" t="str">
        <f t="shared" ref="E3:E11" si="0">CONCATENATE(C3,"  арт.  ",D3)</f>
        <v>CPU 1214C, DC/DC/Relay, 14DI/10DO/2AI  арт.  6ES7214-1HG40-0XB0</v>
      </c>
    </row>
    <row r="4" spans="1:5" x14ac:dyDescent="0.3">
      <c r="A4" t="s">
        <v>48</v>
      </c>
      <c r="B4" t="s">
        <v>49</v>
      </c>
      <c r="C4" t="s">
        <v>8</v>
      </c>
      <c r="D4" t="s">
        <v>53</v>
      </c>
      <c r="E4" t="str">
        <f t="shared" si="0"/>
        <v>Communication Board CB 1241, RS485  арт.  6ES7241-1CH30-1XB0</v>
      </c>
    </row>
    <row r="5" spans="1:5" x14ac:dyDescent="0.3">
      <c r="A5" t="s">
        <v>48</v>
      </c>
      <c r="B5" t="s">
        <v>49</v>
      </c>
      <c r="C5" t="s">
        <v>54</v>
      </c>
      <c r="D5" t="s">
        <v>55</v>
      </c>
      <c r="E5" t="str">
        <f t="shared" si="0"/>
        <v>SIMATIC S7 Memory Card, 12 MB  арт.  6ES7954-8LE04-0AA0</v>
      </c>
    </row>
    <row r="6" spans="1:5" x14ac:dyDescent="0.3">
      <c r="A6" t="s">
        <v>48</v>
      </c>
      <c r="B6" t="s">
        <v>49</v>
      </c>
      <c r="C6" t="s">
        <v>56</v>
      </c>
      <c r="D6" t="s">
        <v>57</v>
      </c>
      <c r="E6" t="str">
        <f t="shared" si="0"/>
        <v>Digital Input SM 1221, 16DI, 24V DC  арт.  6ES7221-1BH32-0XB0</v>
      </c>
    </row>
    <row r="7" spans="1:5" x14ac:dyDescent="0.3">
      <c r="A7" t="s">
        <v>48</v>
      </c>
      <c r="B7" t="s">
        <v>49</v>
      </c>
      <c r="C7" t="s">
        <v>9</v>
      </c>
      <c r="D7" t="s">
        <v>58</v>
      </c>
      <c r="E7" t="str">
        <f t="shared" si="0"/>
        <v>Digital I/O SM 1223, 16DI/16DO  арт.  6ES7223-1PL32-0XB0</v>
      </c>
    </row>
    <row r="8" spans="1:5" x14ac:dyDescent="0.3">
      <c r="A8" t="s">
        <v>48</v>
      </c>
      <c r="B8" t="s">
        <v>49</v>
      </c>
      <c r="C8" t="s">
        <v>59</v>
      </c>
      <c r="D8" t="s">
        <v>60</v>
      </c>
      <c r="E8" t="str">
        <f t="shared" si="0"/>
        <v>Digital Output SM1222, 16 DO, Relay  арт.  6ES7222-1HH32-0XB0</v>
      </c>
    </row>
    <row r="9" spans="1:5" x14ac:dyDescent="0.3">
      <c r="A9" t="s">
        <v>48</v>
      </c>
      <c r="B9" t="s">
        <v>49</v>
      </c>
      <c r="C9" t="s">
        <v>61</v>
      </c>
      <c r="D9" t="s">
        <v>62</v>
      </c>
      <c r="E9" t="str">
        <f t="shared" si="0"/>
        <v>S7-1200, analog Input SM 1231 RTD, 8 AI  арт.  6ES7231-5PF32-0XB0</v>
      </c>
    </row>
    <row r="10" spans="1:5" x14ac:dyDescent="0.3">
      <c r="A10" t="s">
        <v>48</v>
      </c>
      <c r="B10" t="s">
        <v>49</v>
      </c>
      <c r="C10" t="s">
        <v>10</v>
      </c>
      <c r="D10" t="s">
        <v>63</v>
      </c>
      <c r="E10" t="str">
        <f t="shared" si="0"/>
        <v>Analog Output SM 1232, 4AO  арт.  6ES7232-4HD32-0XB0</v>
      </c>
    </row>
    <row r="11" spans="1:5" x14ac:dyDescent="0.3">
      <c r="A11" t="s">
        <v>48</v>
      </c>
      <c r="B11" t="s">
        <v>49</v>
      </c>
      <c r="C11" t="s">
        <v>10</v>
      </c>
      <c r="D11" t="s">
        <v>63</v>
      </c>
      <c r="E11" t="str">
        <f t="shared" si="0"/>
        <v>Analog Output SM 1232, 4AO  арт.  6ES7232-4HD32-0XB0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activeCell="B48" sqref="B48"/>
    </sheetView>
  </sheetViews>
  <sheetFormatPr defaultRowHeight="14.4" x14ac:dyDescent="0.3"/>
  <cols>
    <col min="1" max="1" width="8.88671875" style="4"/>
    <col min="2" max="2" width="57.33203125" style="23" bestFit="1" customWidth="1"/>
    <col min="3" max="3" width="9.33203125" style="6" customWidth="1"/>
    <col min="4" max="4" width="13.6640625" style="6" customWidth="1"/>
    <col min="5" max="5" width="34.109375" style="6" customWidth="1"/>
    <col min="6" max="6" width="14.33203125" style="6" bestFit="1" customWidth="1"/>
    <col min="7" max="8" width="8.88671875" style="4"/>
    <col min="9" max="12" width="3.109375" style="4" customWidth="1"/>
    <col min="13" max="16384" width="8.88671875" style="4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14</v>
      </c>
      <c r="F1" s="9"/>
      <c r="I1" s="2" t="s">
        <v>34</v>
      </c>
      <c r="J1" s="2" t="s">
        <v>25</v>
      </c>
      <c r="K1" s="2" t="s">
        <v>26</v>
      </c>
      <c r="L1" s="2" t="s">
        <v>27</v>
      </c>
    </row>
    <row r="2" spans="1:13" x14ac:dyDescent="0.3">
      <c r="A2" s="8"/>
      <c r="B2" s="10" t="s">
        <v>150</v>
      </c>
      <c r="C2" s="8" t="s">
        <v>6</v>
      </c>
      <c r="D2" s="8">
        <v>2</v>
      </c>
      <c r="E2" s="27" t="s">
        <v>151</v>
      </c>
      <c r="F2" s="12">
        <v>1.5</v>
      </c>
      <c r="G2" s="4">
        <v>3.5</v>
      </c>
    </row>
    <row r="3" spans="1:13" ht="28.8" x14ac:dyDescent="0.3">
      <c r="A3" s="8"/>
      <c r="B3" s="10" t="s">
        <v>37</v>
      </c>
      <c r="C3" s="8" t="s">
        <v>6</v>
      </c>
      <c r="D3" s="8">
        <v>2</v>
      </c>
      <c r="E3" s="27" t="s">
        <v>152</v>
      </c>
      <c r="F3" s="12">
        <v>2.2000000000000002</v>
      </c>
      <c r="G3" s="4">
        <v>5</v>
      </c>
    </row>
    <row r="4" spans="1:13" x14ac:dyDescent="0.3">
      <c r="A4" s="8"/>
      <c r="B4" s="10" t="s">
        <v>153</v>
      </c>
      <c r="C4" s="8" t="s">
        <v>6</v>
      </c>
      <c r="D4" s="8">
        <v>1</v>
      </c>
      <c r="E4" s="11" t="s">
        <v>129</v>
      </c>
      <c r="F4" s="12">
        <v>7.5</v>
      </c>
      <c r="G4" s="4">
        <v>9</v>
      </c>
    </row>
    <row r="5" spans="1:13" x14ac:dyDescent="0.3">
      <c r="A5" s="8">
        <v>5</v>
      </c>
      <c r="B5" s="10" t="s">
        <v>43</v>
      </c>
      <c r="C5" s="8" t="s">
        <v>6</v>
      </c>
      <c r="D5" s="8">
        <v>1</v>
      </c>
      <c r="E5" s="11" t="s">
        <v>80</v>
      </c>
      <c r="F5" s="12"/>
      <c r="I5" s="4">
        <v>2</v>
      </c>
      <c r="J5" s="4">
        <v>1</v>
      </c>
      <c r="L5" s="5"/>
    </row>
    <row r="6" spans="1:13" ht="57.6" x14ac:dyDescent="0.3">
      <c r="A6" s="8">
        <v>10</v>
      </c>
      <c r="B6" s="10" t="s">
        <v>32</v>
      </c>
      <c r="C6" s="8" t="s">
        <v>6</v>
      </c>
      <c r="D6" s="8">
        <v>1</v>
      </c>
      <c r="E6" s="11" t="s">
        <v>33</v>
      </c>
      <c r="F6" s="12"/>
      <c r="J6" s="4">
        <v>1</v>
      </c>
    </row>
    <row r="7" spans="1:13" ht="72" x14ac:dyDescent="0.3">
      <c r="A7" s="8">
        <v>11</v>
      </c>
      <c r="B7" s="10" t="s">
        <v>29</v>
      </c>
      <c r="C7" s="8" t="s">
        <v>6</v>
      </c>
      <c r="D7" s="8">
        <v>2</v>
      </c>
      <c r="E7" s="11" t="s">
        <v>31</v>
      </c>
      <c r="F7" s="12"/>
      <c r="J7" s="4">
        <v>3</v>
      </c>
      <c r="L7" s="4">
        <v>3</v>
      </c>
    </row>
    <row r="8" spans="1:13" ht="72" x14ac:dyDescent="0.3">
      <c r="A8" s="8">
        <v>12</v>
      </c>
      <c r="B8" s="10" t="s">
        <v>30</v>
      </c>
      <c r="C8" s="8" t="s">
        <v>6</v>
      </c>
      <c r="D8" s="8">
        <v>2</v>
      </c>
      <c r="E8" s="11" t="s">
        <v>155</v>
      </c>
      <c r="F8" s="12"/>
      <c r="J8" s="4">
        <v>1</v>
      </c>
      <c r="L8" s="4">
        <v>1</v>
      </c>
    </row>
    <row r="9" spans="1:13" x14ac:dyDescent="0.3">
      <c r="A9" s="8"/>
      <c r="B9" s="10" t="s">
        <v>140</v>
      </c>
      <c r="C9" s="8" t="s">
        <v>6</v>
      </c>
      <c r="D9" s="8">
        <v>2</v>
      </c>
      <c r="E9" s="11" t="s">
        <v>141</v>
      </c>
      <c r="F9" s="12"/>
      <c r="I9" s="4">
        <v>2</v>
      </c>
    </row>
    <row r="10" spans="1:13" ht="29.4" customHeight="1" x14ac:dyDescent="0.3">
      <c r="A10" s="8">
        <v>21</v>
      </c>
      <c r="B10" s="10" t="s">
        <v>39</v>
      </c>
      <c r="C10" s="8" t="s">
        <v>6</v>
      </c>
      <c r="D10" s="8">
        <v>2</v>
      </c>
      <c r="E10" s="11" t="s">
        <v>81</v>
      </c>
      <c r="F10" s="12"/>
      <c r="G10" s="14" t="s">
        <v>38</v>
      </c>
      <c r="J10" s="4">
        <v>2</v>
      </c>
    </row>
    <row r="11" spans="1:13" ht="28.8" x14ac:dyDescent="0.3">
      <c r="A11" s="8">
        <v>22</v>
      </c>
      <c r="B11" s="10" t="s">
        <v>15</v>
      </c>
      <c r="C11" s="8" t="s">
        <v>6</v>
      </c>
      <c r="D11" s="8">
        <v>1</v>
      </c>
      <c r="E11" s="11"/>
      <c r="F11" s="12"/>
    </row>
    <row r="12" spans="1:13" x14ac:dyDescent="0.3">
      <c r="A12" s="8">
        <v>23</v>
      </c>
      <c r="B12" s="10" t="s">
        <v>132</v>
      </c>
      <c r="C12" s="8" t="s">
        <v>6</v>
      </c>
      <c r="D12" s="8">
        <v>2</v>
      </c>
      <c r="E12" s="11"/>
      <c r="F12" s="12"/>
      <c r="I12" s="4">
        <v>4</v>
      </c>
    </row>
    <row r="13" spans="1:13" ht="48.6" customHeight="1" x14ac:dyDescent="0.3">
      <c r="A13" s="8">
        <v>25</v>
      </c>
      <c r="B13" s="10" t="s">
        <v>131</v>
      </c>
      <c r="C13" s="8" t="s">
        <v>6</v>
      </c>
      <c r="D13" s="8">
        <v>9</v>
      </c>
      <c r="E13" s="11" t="s">
        <v>137</v>
      </c>
      <c r="F13" s="12"/>
      <c r="K13" s="4">
        <v>5</v>
      </c>
      <c r="M13" s="4" t="s">
        <v>138</v>
      </c>
    </row>
    <row r="14" spans="1:13" x14ac:dyDescent="0.3">
      <c r="A14" s="8"/>
      <c r="B14" s="10" t="s">
        <v>133</v>
      </c>
      <c r="C14" s="8" t="s">
        <v>6</v>
      </c>
      <c r="D14" s="8">
        <v>3</v>
      </c>
      <c r="E14" s="11"/>
      <c r="F14" s="12"/>
      <c r="K14" s="4">
        <v>3</v>
      </c>
      <c r="M14" s="26" t="s">
        <v>139</v>
      </c>
    </row>
    <row r="15" spans="1:13" x14ac:dyDescent="0.3">
      <c r="A15" s="8">
        <v>27</v>
      </c>
      <c r="B15" s="10" t="s">
        <v>40</v>
      </c>
      <c r="C15" s="8" t="s">
        <v>41</v>
      </c>
      <c r="D15" s="8">
        <v>1</v>
      </c>
      <c r="E15" s="11"/>
      <c r="F15" s="12"/>
    </row>
    <row r="16" spans="1:13" x14ac:dyDescent="0.3">
      <c r="A16" s="8"/>
      <c r="B16" s="10" t="s">
        <v>134</v>
      </c>
      <c r="C16" s="8" t="s">
        <v>41</v>
      </c>
      <c r="D16" s="8">
        <v>2</v>
      </c>
      <c r="E16" s="11"/>
      <c r="F16" s="12"/>
      <c r="I16" s="4">
        <v>1</v>
      </c>
    </row>
    <row r="17" spans="1:12" ht="28.8" x14ac:dyDescent="0.3">
      <c r="A17" s="8">
        <v>28</v>
      </c>
      <c r="B17" s="10" t="s">
        <v>42</v>
      </c>
      <c r="C17" s="8" t="s">
        <v>6</v>
      </c>
      <c r="D17" s="8">
        <v>4</v>
      </c>
      <c r="E17" s="11" t="s">
        <v>88</v>
      </c>
      <c r="F17" s="12"/>
      <c r="I17" s="4">
        <v>4</v>
      </c>
      <c r="J17" s="4">
        <v>4</v>
      </c>
      <c r="L17" s="4">
        <v>4</v>
      </c>
    </row>
    <row r="18" spans="1:12" ht="43.2" x14ac:dyDescent="0.3">
      <c r="A18" s="8">
        <v>29</v>
      </c>
      <c r="B18" s="10" t="s">
        <v>102</v>
      </c>
      <c r="C18" s="8" t="s">
        <v>6</v>
      </c>
      <c r="D18" s="8">
        <v>1</v>
      </c>
      <c r="E18" s="11"/>
      <c r="F18" s="12"/>
      <c r="J18" s="4">
        <v>4</v>
      </c>
    </row>
    <row r="19" spans="1:12" ht="86.4" x14ac:dyDescent="0.3">
      <c r="A19" s="8">
        <v>32</v>
      </c>
      <c r="B19" s="10" t="s">
        <v>64</v>
      </c>
      <c r="C19" s="8" t="s">
        <v>6</v>
      </c>
      <c r="D19" s="8">
        <v>1</v>
      </c>
      <c r="E19" s="10" t="s">
        <v>149</v>
      </c>
      <c r="F19" s="12"/>
    </row>
    <row r="20" spans="1:12" ht="43.2" x14ac:dyDescent="0.3">
      <c r="A20" s="8">
        <v>33</v>
      </c>
      <c r="B20" s="10" t="s">
        <v>65</v>
      </c>
      <c r="C20" s="8" t="s">
        <v>6</v>
      </c>
      <c r="D20" s="8">
        <v>1</v>
      </c>
      <c r="E20" s="10" t="s">
        <v>146</v>
      </c>
      <c r="F20" s="12"/>
    </row>
    <row r="21" spans="1:12" ht="57.6" x14ac:dyDescent="0.3">
      <c r="A21" s="8">
        <v>34</v>
      </c>
      <c r="B21" s="10" t="s">
        <v>66</v>
      </c>
      <c r="C21" s="8" t="s">
        <v>6</v>
      </c>
      <c r="D21" s="8">
        <v>1</v>
      </c>
      <c r="E21" s="10" t="s">
        <v>148</v>
      </c>
      <c r="F21" s="12"/>
    </row>
    <row r="22" spans="1:12" ht="43.2" x14ac:dyDescent="0.3">
      <c r="A22" s="8">
        <v>35</v>
      </c>
      <c r="B22" s="10" t="s">
        <v>67</v>
      </c>
      <c r="C22" s="8" t="s">
        <v>6</v>
      </c>
      <c r="D22" s="8">
        <v>1</v>
      </c>
      <c r="E22" s="10" t="s">
        <v>147</v>
      </c>
      <c r="F22" s="12"/>
    </row>
    <row r="23" spans="1:12" ht="43.2" x14ac:dyDescent="0.3">
      <c r="A23" s="8"/>
      <c r="B23" s="10"/>
      <c r="C23" s="8"/>
      <c r="D23" s="8">
        <v>1</v>
      </c>
      <c r="E23" s="10" t="s">
        <v>144</v>
      </c>
      <c r="F23" s="12"/>
    </row>
    <row r="24" spans="1:12" ht="28.8" x14ac:dyDescent="0.3">
      <c r="A24" s="8">
        <v>36</v>
      </c>
      <c r="B24" s="10" t="s">
        <v>68</v>
      </c>
      <c r="C24" s="8" t="s">
        <v>6</v>
      </c>
      <c r="D24" s="8">
        <v>1</v>
      </c>
      <c r="E24" s="10" t="s">
        <v>143</v>
      </c>
      <c r="F24" s="12"/>
    </row>
    <row r="25" spans="1:12" ht="43.2" x14ac:dyDescent="0.3">
      <c r="A25" s="8">
        <v>37</v>
      </c>
      <c r="B25" s="10" t="s">
        <v>69</v>
      </c>
      <c r="C25" s="8" t="s">
        <v>6</v>
      </c>
      <c r="D25" s="8">
        <v>2</v>
      </c>
      <c r="E25" s="10" t="s">
        <v>145</v>
      </c>
      <c r="F25" s="12"/>
    </row>
    <row r="26" spans="1:12" ht="28.8" x14ac:dyDescent="0.3">
      <c r="A26" s="8">
        <v>38</v>
      </c>
      <c r="B26" s="10" t="s">
        <v>70</v>
      </c>
      <c r="C26" s="8" t="s">
        <v>6</v>
      </c>
      <c r="D26" s="8">
        <v>1</v>
      </c>
      <c r="E26" s="11"/>
      <c r="F26" s="15" t="s">
        <v>71</v>
      </c>
    </row>
    <row r="27" spans="1:12" ht="100.8" x14ac:dyDescent="0.3">
      <c r="A27" s="8">
        <v>39</v>
      </c>
      <c r="B27" s="28" t="s">
        <v>82</v>
      </c>
      <c r="C27" s="8" t="s">
        <v>6</v>
      </c>
      <c r="D27" s="8">
        <v>1</v>
      </c>
      <c r="E27" s="11"/>
      <c r="F27" s="12"/>
    </row>
    <row r="28" spans="1:12" ht="28.8" x14ac:dyDescent="0.3">
      <c r="A28" s="8">
        <v>40</v>
      </c>
      <c r="B28" s="10" t="s">
        <v>28</v>
      </c>
      <c r="C28" s="8" t="s">
        <v>6</v>
      </c>
      <c r="D28" s="8">
        <v>1</v>
      </c>
      <c r="E28" s="11"/>
      <c r="F28" s="12"/>
    </row>
    <row r="29" spans="1:12" x14ac:dyDescent="0.3">
      <c r="A29" s="8"/>
      <c r="B29" s="10" t="s">
        <v>128</v>
      </c>
      <c r="C29" s="8" t="s">
        <v>6</v>
      </c>
      <c r="D29" s="8">
        <v>1</v>
      </c>
      <c r="E29" s="11"/>
      <c r="F29" s="12"/>
      <c r="I29" s="4">
        <v>1</v>
      </c>
    </row>
    <row r="30" spans="1:12" x14ac:dyDescent="0.3">
      <c r="A30" s="8">
        <v>41</v>
      </c>
      <c r="B30" s="10" t="s">
        <v>89</v>
      </c>
      <c r="C30" s="8" t="s">
        <v>6</v>
      </c>
      <c r="D30" s="8">
        <v>10</v>
      </c>
      <c r="E30" s="11"/>
      <c r="F30" s="12"/>
    </row>
    <row r="31" spans="1:12" ht="43.2" x14ac:dyDescent="0.3">
      <c r="A31" s="8"/>
      <c r="B31" s="10" t="s">
        <v>156</v>
      </c>
      <c r="C31" s="8"/>
      <c r="D31" s="8">
        <v>6</v>
      </c>
      <c r="E31" s="11" t="s">
        <v>157</v>
      </c>
      <c r="F31" s="12"/>
    </row>
    <row r="32" spans="1:12" ht="43.2" x14ac:dyDescent="0.3">
      <c r="A32" s="8"/>
      <c r="B32" s="10" t="s">
        <v>158</v>
      </c>
      <c r="C32" s="8"/>
      <c r="D32" s="8">
        <v>2</v>
      </c>
      <c r="E32" s="11" t="s">
        <v>159</v>
      </c>
      <c r="F32" s="12"/>
    </row>
    <row r="33" spans="1:9" x14ac:dyDescent="0.3">
      <c r="A33" s="8"/>
      <c r="B33" s="10" t="s">
        <v>160</v>
      </c>
      <c r="C33" s="8"/>
      <c r="D33" s="8">
        <v>2</v>
      </c>
      <c r="E33" s="11" t="s">
        <v>161</v>
      </c>
      <c r="F33" s="12"/>
    </row>
    <row r="34" spans="1:9" x14ac:dyDescent="0.3">
      <c r="A34" s="8"/>
      <c r="B34" s="10" t="s">
        <v>162</v>
      </c>
      <c r="C34" s="8"/>
      <c r="D34" s="8">
        <v>10</v>
      </c>
      <c r="E34" s="11" t="s">
        <v>163</v>
      </c>
      <c r="F34" s="12"/>
    </row>
    <row r="35" spans="1:9" x14ac:dyDescent="0.3">
      <c r="A35" s="8">
        <v>42</v>
      </c>
      <c r="B35" s="10" t="s">
        <v>90</v>
      </c>
      <c r="C35" s="8" t="s">
        <v>6</v>
      </c>
      <c r="D35" s="8">
        <v>10</v>
      </c>
      <c r="E35" s="11"/>
      <c r="F35" s="12"/>
    </row>
    <row r="36" spans="1:9" ht="28.8" x14ac:dyDescent="0.3">
      <c r="A36" s="8"/>
      <c r="B36" s="10" t="s">
        <v>164</v>
      </c>
      <c r="C36" s="8"/>
      <c r="D36" s="8">
        <v>2</v>
      </c>
      <c r="E36" s="11" t="s">
        <v>161</v>
      </c>
      <c r="F36" s="12"/>
    </row>
    <row r="37" spans="1:9" ht="28.8" x14ac:dyDescent="0.3">
      <c r="A37" s="8"/>
      <c r="B37" s="10" t="s">
        <v>165</v>
      </c>
      <c r="C37" s="8"/>
      <c r="D37" s="8">
        <v>4</v>
      </c>
      <c r="E37" s="11" t="s">
        <v>166</v>
      </c>
      <c r="F37" s="12"/>
    </row>
    <row r="38" spans="1:9" ht="43.2" x14ac:dyDescent="0.3">
      <c r="A38" s="8">
        <v>45</v>
      </c>
      <c r="B38" s="10" t="s">
        <v>95</v>
      </c>
      <c r="C38" s="8" t="s">
        <v>6</v>
      </c>
      <c r="D38" s="8">
        <v>1</v>
      </c>
      <c r="E38" s="11"/>
      <c r="F38" s="12"/>
    </row>
    <row r="39" spans="1:9" ht="28.8" x14ac:dyDescent="0.3">
      <c r="A39" s="8">
        <v>49</v>
      </c>
      <c r="B39" s="10" t="s">
        <v>100</v>
      </c>
      <c r="C39" s="8" t="s">
        <v>6</v>
      </c>
      <c r="D39" s="8">
        <v>1</v>
      </c>
      <c r="E39" s="11"/>
      <c r="F39" s="12"/>
    </row>
    <row r="40" spans="1:9" ht="43.2" x14ac:dyDescent="0.3">
      <c r="A40" s="8">
        <v>50</v>
      </c>
      <c r="B40" s="10" t="s">
        <v>101</v>
      </c>
      <c r="C40" s="8" t="s">
        <v>6</v>
      </c>
      <c r="D40" s="8">
        <v>1</v>
      </c>
      <c r="E40" s="11"/>
      <c r="F40" s="12"/>
    </row>
    <row r="41" spans="1:9" x14ac:dyDescent="0.3">
      <c r="A41" s="8"/>
      <c r="B41" s="10" t="s">
        <v>142</v>
      </c>
      <c r="C41" s="8" t="s">
        <v>6</v>
      </c>
      <c r="D41" s="8">
        <v>4</v>
      </c>
      <c r="E41" s="11"/>
      <c r="F41" s="12"/>
      <c r="I41" s="4">
        <v>4</v>
      </c>
    </row>
    <row r="42" spans="1:9" x14ac:dyDescent="0.3">
      <c r="A42" s="8">
        <v>62</v>
      </c>
      <c r="B42" s="10" t="s">
        <v>22</v>
      </c>
      <c r="C42" s="8" t="s">
        <v>6</v>
      </c>
      <c r="D42" s="8">
        <v>2</v>
      </c>
      <c r="E42" s="11"/>
      <c r="F42" s="12"/>
    </row>
    <row r="43" spans="1:9" x14ac:dyDescent="0.3">
      <c r="A43" s="8">
        <v>63</v>
      </c>
      <c r="B43" s="10" t="s">
        <v>23</v>
      </c>
      <c r="C43" s="8" t="s">
        <v>6</v>
      </c>
      <c r="D43" s="8">
        <v>2</v>
      </c>
      <c r="E43" s="11"/>
      <c r="F43" s="12"/>
    </row>
  </sheetData>
  <hyperlinks>
    <hyperlink ref="F26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Спецификация</vt:lpstr>
      <vt:lpstr>Сименс</vt:lpstr>
      <vt:lpstr>Лист1</vt:lpstr>
      <vt:lpstr>Спецификация!Область_печати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2025-10-29T10:46:24Z</dcterms:modified>
</cp:coreProperties>
</file>